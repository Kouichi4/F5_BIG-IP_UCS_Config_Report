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Jason Yang\OneDrive - Exclusive Networks\Documents\1.F5\Automation, Scripts\F5 BIG-IP Config Report\ExtractSrc\"/>
    </mc:Choice>
  </mc:AlternateContent>
  <xr:revisionPtr revIDLastSave="0" documentId="13_ncr:1_{7C3C71B4-C835-443A-AE13-FEDC70CC9123}" xr6:coauthVersionLast="47" xr6:coauthVersionMax="47" xr10:uidLastSave="{00000000-0000-0000-0000-000000000000}"/>
  <bookViews>
    <workbookView xWindow="22944" yWindow="0" windowWidth="23232" windowHeight="18576" tabRatio="737" firstSheet="52" activeTab="67" xr2:uid="{C178A0CF-13FF-4E45-A65E-10CE67979292}"/>
  </bookViews>
  <sheets>
    <sheet name="Summary &amp; Hardening" sheetId="102" r:id="rId1"/>
    <sheet name="DeviceManagement&gt;&gt;&gt;&gt;&gt;&gt;&gt;&gt;&gt;&gt;&gt;&gt;&gt;&gt;&gt;" sheetId="134" r:id="rId2"/>
    <sheet name="cmdevice" sheetId="116" r:id="rId3"/>
    <sheet name="cmdevicegroup" sheetId="118" r:id="rId4"/>
    <sheet name="cmtrafficgroup" sheetId="120" r:id="rId5"/>
    <sheet name="cmtrustdomain" sheetId="121" r:id="rId6"/>
    <sheet name="sysstatemirroring" sheetId="115" r:id="rId7"/>
    <sheet name="System&gt;&gt;&gt;&gt;&gt;&gt;&gt;&gt;&gt;&gt;&gt;&gt;&gt;&gt;&gt;&gt;&gt;&gt;&gt;&gt;&gt;&gt;&gt;&gt;&gt;" sheetId="132" r:id="rId8"/>
    <sheet name="hostname" sheetId="101" r:id="rId9"/>
    <sheet name="partition" sheetId="140" r:id="rId10"/>
    <sheet name="securityfwmgmtip" sheetId="128" r:id="rId11"/>
    <sheet name="mgmtip" sheetId="85" r:id="rId12"/>
    <sheet name="mgmtroute" sheetId="90" r:id="rId13"/>
    <sheet name="provision" sheetId="86" r:id="rId14"/>
    <sheet name="ntp" sheetId="91" r:id="rId15"/>
    <sheet name="dns" sheetId="92" r:id="rId16"/>
    <sheet name="syslog" sheetId="93" r:id="rId17"/>
    <sheet name="snmp" sheetId="94" r:id="rId18"/>
    <sheet name="user" sheetId="100" r:id="rId19"/>
    <sheet name="passwordpolicy" sheetId="95" r:id="rId20"/>
    <sheet name="httpd" sheetId="96" r:id="rId21"/>
    <sheet name="sshd" sheetId="97" r:id="rId22"/>
    <sheet name="cliglobalsettings" sheetId="98" r:id="rId23"/>
    <sheet name="sysglobalsettings" sheetId="99" r:id="rId24"/>
    <sheet name="auth" sheetId="81" r:id="rId25"/>
    <sheet name="devicecert" sheetId="122" r:id="rId26"/>
    <sheet name="cert" sheetId="65" r:id="rId27"/>
    <sheet name="certdetails" sheetId="68" r:id="rId28"/>
    <sheet name="key" sheetId="64" r:id="rId29"/>
    <sheet name="DB&gt;&gt;&gt;&gt;&gt;&gt;&gt;&gt;&gt;&gt;&gt;&gt;&gt;&gt;&gt;&gt;&gt;&gt;&gt;&gt;&gt;&gt;&gt;&gt;&gt;&gt;&gt;&gt;&gt;" sheetId="135" r:id="rId30"/>
    <sheet name="uilogaccess" sheetId="103" r:id="rId31"/>
    <sheet name="configauditing" sheetId="104" r:id="rId32"/>
    <sheet name="Network&gt;&gt;&gt;&gt;&gt;&gt;&gt;&gt;&gt;&gt;&gt;&gt;&gt;&gt;&gt;&gt;&gt;&gt;&gt;&gt;&gt;&gt;&gt;&gt;" sheetId="133" r:id="rId33"/>
    <sheet name="trunk" sheetId="87" r:id="rId34"/>
    <sheet name="netroutedomain" sheetId="113" r:id="rId35"/>
    <sheet name="nettunnels" sheetId="119" r:id="rId36"/>
    <sheet name="vlan" sheetId="88" r:id="rId37"/>
    <sheet name="selfip" sheetId="89" r:id="rId38"/>
    <sheet name="route" sheetId="80" r:id="rId39"/>
    <sheet name="LTM&gt;&gt;&gt;&gt;&gt;&gt;&gt;&gt;&gt;&gt;&gt;&gt;&gt;&gt;&gt;&gt;&gt;&gt;&gt;&gt;&gt;&gt;&gt;&gt;&gt;&gt;&gt;&gt;" sheetId="131" r:id="rId40"/>
    <sheet name="defaultprofile" sheetId="63" r:id="rId41"/>
    <sheet name="baseprofile" sheetId="139" r:id="rId42"/>
    <sheet name="ltmprofile" sheetId="60" r:id="rId43"/>
    <sheet name="ltmmonitor" sheetId="67" r:id="rId44"/>
    <sheet name="ltmnode" sheetId="79" r:id="rId45"/>
    <sheet name="ltmpool" sheetId="62" r:id="rId46"/>
    <sheet name="ltmpolicy" sheetId="75" r:id="rId47"/>
    <sheet name="ltmsnatpool" sheetId="78" r:id="rId48"/>
    <sheet name="ltmcipherrule" sheetId="136" r:id="rId49"/>
    <sheet name="ltmciphergroup" sheetId="137" r:id="rId50"/>
    <sheet name="ltmclientssl" sheetId="66" r:id="rId51"/>
    <sheet name="ltmserverssl" sheetId="138" r:id="rId52"/>
    <sheet name="ltmvirtualserver" sheetId="76" r:id="rId53"/>
    <sheet name="ltmvirtualaddress" sheetId="141" r:id="rId54"/>
    <sheet name="GTM&gt;&gt;&gt;&gt;&gt;&gt;&gt;&gt;&gt;&gt;&gt;&gt;&gt;&gt;&gt;&gt;&gt;&gt;&gt;&gt;&gt;&gt;&gt;&gt;&gt;&gt;&gt;&gt;" sheetId="129" r:id="rId55"/>
    <sheet name="gtmcert" sheetId="123" r:id="rId56"/>
    <sheet name="big3dcert" sheetId="126" r:id="rId57"/>
    <sheet name="gtmdatacenter" sheetId="105" r:id="rId58"/>
    <sheet name="gtmproberpool" sheetId="124" r:id="rId59"/>
    <sheet name="gtmregion" sheetId="127" r:id="rId60"/>
    <sheet name="gtmserver" sheetId="106" r:id="rId61"/>
    <sheet name="gtmtopology" sheetId="110" r:id="rId62"/>
    <sheet name="gtmglobalsettings" sheetId="125" r:id="rId63"/>
    <sheet name="gtmmonitor" sheetId="109" r:id="rId64"/>
    <sheet name="gtmpool" sheetId="108" r:id="rId65"/>
    <sheet name="gtmwideip" sheetId="107" r:id="rId66"/>
    <sheet name="ASM&gt;&gt;&gt;&gt;&gt;&gt;&gt;&gt;&gt;&gt;&gt;&gt;&gt;&gt;&gt;&gt;&gt;&gt;&gt;&gt;&gt;&gt;&gt;&gt;&gt;&gt;&gt;&gt;" sheetId="130" r:id="rId67"/>
    <sheet name="asmpolicy" sheetId="72" r:id="rId68"/>
  </sheets>
  <definedNames>
    <definedName name="_xlnm._FilterDatabase" localSheetId="24" hidden="1">auth!$A$1:$B$2</definedName>
    <definedName name="_xlnm._FilterDatabase" localSheetId="26" hidden="1">'cert'!$A$1:$B$2</definedName>
    <definedName name="_xlnm._FilterDatabase" localSheetId="22" hidden="1">'cliglobalsettings'!$A$1:$A$2</definedName>
    <definedName name="_xlnm._FilterDatabase" localSheetId="2" hidden="1">'cmdevice'!$A$1:$A$2</definedName>
    <definedName name="_xlnm._FilterDatabase" localSheetId="3" hidden="1">'cmdevicegroup'!$A$1:$A$2</definedName>
    <definedName name="_xlnm._FilterDatabase" localSheetId="4" hidden="1">cmtrafficgroup!$A$1:$A$2</definedName>
    <definedName name="_xlnm._FilterDatabase" localSheetId="5" hidden="1">cmtrustdomain!$A$1:$A$2</definedName>
    <definedName name="_xlnm._FilterDatabase" localSheetId="31" hidden="1">'configauditing'!$A$1:$A$2</definedName>
    <definedName name="_xlnm._FilterDatabase" localSheetId="15" hidden="1">dns!$A$1:$A$2</definedName>
    <definedName name="_xlnm._FilterDatabase" localSheetId="57" hidden="1">gtmdatacenter!$A$1:$C$2</definedName>
    <definedName name="_xlnm._FilterDatabase" localSheetId="62" hidden="1">gtmglobalsettings!$A$1:$D$2</definedName>
    <definedName name="_xlnm._FilterDatabase" localSheetId="63" hidden="1">gtmmonitor!$A$1:$I$2</definedName>
    <definedName name="_xlnm._FilterDatabase" localSheetId="64" hidden="1">gtmpool!$A$1:$J$2</definedName>
    <definedName name="_xlnm._FilterDatabase" localSheetId="58" hidden="1">gtmproberpool!$A$1:$C$2</definedName>
    <definedName name="_xlnm._FilterDatabase" localSheetId="59" hidden="1">gtmregion!$A$1:$C$2</definedName>
    <definedName name="_xlnm._FilterDatabase" localSheetId="60" hidden="1">gtmserver!$A$1:$H$2</definedName>
    <definedName name="_xlnm._FilterDatabase" localSheetId="61" hidden="1">gtmtopology!$A$1:$D$2</definedName>
    <definedName name="_xlnm._FilterDatabase" localSheetId="65" hidden="1">gtmwideip!$A$1:$G$2</definedName>
    <definedName name="_xlnm._FilterDatabase" localSheetId="8" hidden="1">hostname!$A$1:$A$2</definedName>
    <definedName name="_xlnm._FilterDatabase" localSheetId="20" hidden="1">httpd!$A$1:$A$2</definedName>
    <definedName name="_xlnm._FilterDatabase" localSheetId="28" hidden="1">key!$A$1:$B$2</definedName>
    <definedName name="_xlnm._FilterDatabase" localSheetId="49" hidden="1">ltmciphergroup!$A$1:$C$2</definedName>
    <definedName name="_xlnm._FilterDatabase" localSheetId="48" hidden="1">ltmcipherrule!$A$1:$C$2</definedName>
    <definedName name="_xlnm._FilterDatabase" localSheetId="50" hidden="1">ltmclientssl!$A$1:$C$2</definedName>
    <definedName name="_xlnm._FilterDatabase" localSheetId="44" hidden="1">ltmnode!$A$1:$C$2</definedName>
    <definedName name="_xlnm._FilterDatabase" localSheetId="46" hidden="1">ltmpolicy!$A$1:$B$2</definedName>
    <definedName name="_xlnm._FilterDatabase" localSheetId="45" hidden="1">ltmpool!$A$1:$C$2</definedName>
    <definedName name="_xlnm._FilterDatabase" localSheetId="42" hidden="1">ltmprofile!$A$1:$B$2</definedName>
    <definedName name="_xlnm._FilterDatabase" localSheetId="51" hidden="1">ltmserverssl!$A$1:$C$2</definedName>
    <definedName name="_xlnm._FilterDatabase" localSheetId="47" hidden="1">ltmsnatpool!$A$1:$C$2</definedName>
    <definedName name="_xlnm._FilterDatabase" localSheetId="53" hidden="1">ltmvirtualaddress!$A$1:$H$2</definedName>
    <definedName name="_xlnm._FilterDatabase" localSheetId="52" hidden="1">ltmvirtualserver!$A$1:$AF$2</definedName>
    <definedName name="_xlnm._FilterDatabase" localSheetId="11" hidden="1">mgmtip!$A$1:$A$2</definedName>
    <definedName name="_xlnm._FilterDatabase" localSheetId="12" hidden="1">mgmtroute!$A$1:$A$2</definedName>
    <definedName name="_xlnm._FilterDatabase" localSheetId="34" hidden="1">netroutedomain!$A$1:$A$2</definedName>
    <definedName name="_xlnm._FilterDatabase" localSheetId="35" hidden="1">nettunnels!$A$1:$A$2</definedName>
    <definedName name="_xlnm._FilterDatabase" localSheetId="14" hidden="1">ntp!$A$1:$A$2</definedName>
    <definedName name="_xlnm._FilterDatabase" localSheetId="9" hidden="1">partition!$A$1:$A$2</definedName>
    <definedName name="_xlnm._FilterDatabase" localSheetId="19" hidden="1">passwordpolicy!$A$1:$A$2</definedName>
    <definedName name="_xlnm._FilterDatabase" localSheetId="13" hidden="1">provision!$A$1:$A$2</definedName>
    <definedName name="_xlnm._FilterDatabase" localSheetId="38" hidden="1">'route'!$A$1:$C$2</definedName>
    <definedName name="_xlnm._FilterDatabase" localSheetId="10" hidden="1">securityfwmgmtip!$A$1:$A$2</definedName>
    <definedName name="_xlnm._FilterDatabase" localSheetId="17" hidden="1">snmp!$A$1:$A$2</definedName>
    <definedName name="_xlnm._FilterDatabase" localSheetId="21" hidden="1">sshd!$A$1:$A$2</definedName>
    <definedName name="_xlnm._FilterDatabase" localSheetId="23" hidden="1">sysglobalsettings!$A$1:$A$2</definedName>
    <definedName name="_xlnm._FilterDatabase" localSheetId="16" hidden="1">syslog!$A$1:$A$2</definedName>
    <definedName name="_xlnm._FilterDatabase" localSheetId="6" hidden="1">sysstatemirroring!$A$1:$A$2</definedName>
    <definedName name="_xlnm._FilterDatabase" localSheetId="33" hidden="1">trunk!$A$1:$A$2</definedName>
    <definedName name="_xlnm._FilterDatabase" localSheetId="30" hidden="1">uilogaccess!$A$1:$A$2</definedName>
    <definedName name="Actual">(PeriodInActual*(#REF!&gt;0))*PeriodInPlan</definedName>
    <definedName name="ActualBeyond">PeriodInActual*(#REF!&gt;0)</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72" l="1"/>
  <c r="H2" i="72"/>
  <c r="G2" i="72"/>
  <c r="F2" i="72"/>
  <c r="E2" i="72"/>
  <c r="I2" i="141"/>
  <c r="H2" i="141"/>
  <c r="G2" i="141"/>
  <c r="F2" i="141"/>
  <c r="E2" i="141"/>
  <c r="D2" i="141"/>
  <c r="C2" i="141"/>
  <c r="B2" i="141"/>
  <c r="B26" i="102"/>
  <c r="B25" i="102"/>
  <c r="B28" i="102"/>
  <c r="B29" i="102"/>
  <c r="B31" i="102"/>
  <c r="B30" i="102"/>
  <c r="B22" i="102"/>
  <c r="B21" i="102"/>
  <c r="B17" i="102"/>
  <c r="E2" i="76"/>
  <c r="D2" i="140"/>
  <c r="C2" i="140"/>
  <c r="B2" i="140"/>
  <c r="C2" i="139" a="1"/>
  <c r="C3" i="139" a="1"/>
  <c r="C4" i="139" a="1"/>
  <c r="C5" i="139" a="1"/>
  <c r="C6" i="139" a="1"/>
  <c r="C7" i="139" a="1"/>
  <c r="C8" i="139" a="1"/>
  <c r="C9" i="139" a="1"/>
  <c r="C10" i="139" a="1"/>
  <c r="C11" i="139" a="1"/>
  <c r="C12" i="139" a="1"/>
  <c r="C13" i="139" a="1"/>
  <c r="C14" i="139" a="1"/>
  <c r="C15" i="139" a="1"/>
  <c r="C16" i="139" a="1"/>
  <c r="C17" i="139" a="1"/>
  <c r="C18" i="139" a="1"/>
  <c r="C19" i="139" a="1"/>
  <c r="C20" i="139" a="1"/>
  <c r="C21" i="139" a="1"/>
  <c r="C22" i="139" a="1"/>
  <c r="C23" i="139" a="1"/>
  <c r="C24" i="139" a="1"/>
  <c r="C25" i="139" a="1"/>
  <c r="C26" i="139" a="1"/>
  <c r="C27" i="139" a="1"/>
  <c r="C28" i="139" a="1"/>
  <c r="C29" i="139" a="1"/>
  <c r="C30" i="139" a="1"/>
  <c r="C31" i="139" a="1"/>
  <c r="C32" i="139" a="1"/>
  <c r="C33" i="139" a="1"/>
  <c r="C34" i="139" a="1"/>
  <c r="C35" i="139" a="1"/>
  <c r="C36" i="139" a="1"/>
  <c r="C37" i="139" a="1"/>
  <c r="C38" i="139" a="1"/>
  <c r="C39" i="139" a="1"/>
  <c r="C40" i="139" a="1"/>
  <c r="C41" i="139" a="1"/>
  <c r="C42" i="139" a="1"/>
  <c r="C43" i="139" a="1"/>
  <c r="C44" i="139" a="1"/>
  <c r="C45" i="139" a="1"/>
  <c r="C46" i="139" a="1"/>
  <c r="C47" i="139" a="1"/>
  <c r="C48" i="139" a="1"/>
  <c r="C49" i="139" a="1"/>
  <c r="C50" i="139" a="1"/>
  <c r="C51" i="139" a="1"/>
  <c r="C52" i="139" a="1"/>
  <c r="C53" i="139" a="1"/>
  <c r="C54" i="139" a="1"/>
  <c r="C55" i="139" a="1"/>
  <c r="C56" i="139" a="1"/>
  <c r="C57" i="139" a="1"/>
  <c r="C58" i="139" a="1"/>
  <c r="C59" i="139" a="1"/>
  <c r="C60" i="139" a="1"/>
  <c r="C61" i="139" a="1"/>
  <c r="C62" i="139" a="1"/>
  <c r="C63" i="139" a="1"/>
  <c r="C64" i="139" a="1"/>
  <c r="C65" i="139" a="1"/>
  <c r="C66" i="139" a="1"/>
  <c r="C67" i="139" a="1"/>
  <c r="C68" i="139" a="1"/>
  <c r="C69" i="139" a="1"/>
  <c r="C70" i="139" a="1"/>
  <c r="C71" i="139" a="1"/>
  <c r="C72" i="139" a="1"/>
  <c r="C73" i="139" a="1"/>
  <c r="C74" i="139" a="1"/>
  <c r="C75" i="139" a="1"/>
  <c r="C76" i="139" a="1"/>
  <c r="C77" i="139" a="1"/>
  <c r="C78" i="139" a="1"/>
  <c r="C79" i="139" a="1"/>
  <c r="C80" i="139" a="1"/>
  <c r="C81" i="139" a="1"/>
  <c r="C82" i="139" a="1"/>
  <c r="C83" i="139" a="1"/>
  <c r="C84" i="139" a="1"/>
  <c r="C85" i="139" a="1"/>
  <c r="C86" i="139" a="1"/>
  <c r="C87" i="139" a="1"/>
  <c r="C88" i="139" a="1"/>
  <c r="C89" i="139" a="1"/>
  <c r="C90" i="139" a="1"/>
  <c r="C91" i="139" a="1"/>
  <c r="C92" i="139" a="1"/>
  <c r="C93" i="139" a="1"/>
  <c r="C94" i="139" a="1"/>
  <c r="C95" i="139" a="1"/>
  <c r="C96" i="139" a="1"/>
  <c r="C97" i="139" a="1"/>
  <c r="C98" i="139" a="1"/>
  <c r="C99" i="139" a="1"/>
  <c r="C100" i="139" a="1"/>
  <c r="C101" i="139" a="1"/>
  <c r="C102" i="139" a="1"/>
  <c r="C103" i="139" a="1"/>
  <c r="C104" i="139" a="1"/>
  <c r="C105" i="139" a="1"/>
  <c r="C106" i="139" a="1"/>
  <c r="C107" i="139" a="1"/>
  <c r="C108" i="139" a="1"/>
  <c r="C109" i="139" a="1"/>
  <c r="C110" i="139" a="1"/>
  <c r="C111" i="139" a="1"/>
  <c r="C112" i="139" a="1"/>
  <c r="C113" i="139" a="1"/>
  <c r="C114" i="139" a="1"/>
  <c r="C115" i="139" a="1"/>
  <c r="C116" i="139" a="1"/>
  <c r="C117" i="139" a="1"/>
  <c r="C118" i="139" a="1"/>
  <c r="C119" i="139" a="1"/>
  <c r="C120" i="139" a="1"/>
  <c r="C121" i="139" a="1"/>
  <c r="C122" i="139" a="1"/>
  <c r="C123" i="139" a="1"/>
  <c r="C124" i="139" a="1"/>
  <c r="C125" i="139" a="1"/>
  <c r="C126" i="139" a="1"/>
  <c r="C127" i="139" a="1"/>
  <c r="C128" i="139" a="1"/>
  <c r="C129" i="139" a="1"/>
  <c r="C130" i="139" a="1"/>
  <c r="C131" i="139" a="1"/>
  <c r="C132" i="139" a="1"/>
  <c r="B2" i="139"/>
  <c r="B3" i="139"/>
  <c r="B4" i="139"/>
  <c r="B5" i="139"/>
  <c r="B6" i="139"/>
  <c r="B7" i="139"/>
  <c r="B8" i="139"/>
  <c r="B9" i="139"/>
  <c r="B10" i="139"/>
  <c r="B11" i="139"/>
  <c r="B12" i="139"/>
  <c r="B13" i="139"/>
  <c r="B14" i="139"/>
  <c r="B15" i="139"/>
  <c r="B16" i="139"/>
  <c r="B17" i="139"/>
  <c r="B18" i="139"/>
  <c r="B19" i="139"/>
  <c r="B20" i="139"/>
  <c r="B21" i="139"/>
  <c r="B22" i="139"/>
  <c r="B23" i="139"/>
  <c r="B24" i="139"/>
  <c r="B25" i="139"/>
  <c r="B26" i="139"/>
  <c r="B27" i="139"/>
  <c r="B28" i="139"/>
  <c r="B29" i="139"/>
  <c r="B30" i="139"/>
  <c r="B31" i="139"/>
  <c r="B32" i="139"/>
  <c r="B33" i="139"/>
  <c r="B34" i="139"/>
  <c r="B35" i="139"/>
  <c r="B36" i="139"/>
  <c r="B37" i="139"/>
  <c r="B38" i="139"/>
  <c r="B39" i="139"/>
  <c r="B40" i="139"/>
  <c r="B41" i="139"/>
  <c r="B42" i="139"/>
  <c r="B43" i="139"/>
  <c r="B44" i="139"/>
  <c r="B45" i="139"/>
  <c r="B46" i="139"/>
  <c r="B47" i="139"/>
  <c r="B48" i="139"/>
  <c r="B49" i="139"/>
  <c r="B50" i="139"/>
  <c r="B51" i="139"/>
  <c r="B52" i="139"/>
  <c r="B53" i="139"/>
  <c r="B54" i="139"/>
  <c r="B55" i="139"/>
  <c r="B56" i="139"/>
  <c r="B57" i="139"/>
  <c r="B58" i="139"/>
  <c r="B59" i="139"/>
  <c r="B60" i="139"/>
  <c r="B61" i="139"/>
  <c r="B62" i="139"/>
  <c r="B63" i="139"/>
  <c r="B64" i="139"/>
  <c r="B65" i="139"/>
  <c r="B66" i="139"/>
  <c r="B67" i="139"/>
  <c r="B68" i="139"/>
  <c r="B69" i="139"/>
  <c r="B70" i="139"/>
  <c r="B71" i="139"/>
  <c r="B72" i="139"/>
  <c r="B73" i="139"/>
  <c r="B74" i="139"/>
  <c r="B75" i="139"/>
  <c r="B76" i="139"/>
  <c r="B77" i="139"/>
  <c r="B78" i="139"/>
  <c r="B79" i="139"/>
  <c r="B80" i="139"/>
  <c r="B81" i="139"/>
  <c r="B82" i="139"/>
  <c r="B83" i="139"/>
  <c r="B84" i="139"/>
  <c r="B85" i="139"/>
  <c r="B86" i="139"/>
  <c r="B87" i="139"/>
  <c r="B88" i="139"/>
  <c r="B89" i="139"/>
  <c r="B90" i="139"/>
  <c r="B91" i="139"/>
  <c r="B92" i="139"/>
  <c r="B93" i="139"/>
  <c r="B94" i="139"/>
  <c r="B95" i="139"/>
  <c r="B96" i="139"/>
  <c r="B97" i="139"/>
  <c r="B98" i="139"/>
  <c r="B99" i="139"/>
  <c r="B100" i="139"/>
  <c r="B101" i="139"/>
  <c r="B102" i="139"/>
  <c r="B103" i="139"/>
  <c r="B104" i="139"/>
  <c r="B105" i="139"/>
  <c r="B106" i="139"/>
  <c r="B107" i="139"/>
  <c r="B108" i="139"/>
  <c r="B109" i="139"/>
  <c r="B110" i="139"/>
  <c r="B111" i="139"/>
  <c r="B112" i="139"/>
  <c r="B113" i="139"/>
  <c r="B114" i="139"/>
  <c r="B115" i="139"/>
  <c r="B116" i="139"/>
  <c r="B117" i="139"/>
  <c r="B118" i="139"/>
  <c r="B119" i="139"/>
  <c r="B120" i="139"/>
  <c r="B121" i="139"/>
  <c r="B122" i="139"/>
  <c r="B123" i="139"/>
  <c r="B124" i="139"/>
  <c r="B125" i="139"/>
  <c r="B126" i="139"/>
  <c r="B127" i="139"/>
  <c r="B128" i="139"/>
  <c r="B129" i="139"/>
  <c r="B130" i="139"/>
  <c r="B131" i="139"/>
  <c r="B132" i="139"/>
  <c r="I2" i="68"/>
  <c r="M2" i="138"/>
  <c r="L2" i="138"/>
  <c r="E2" i="138"/>
  <c r="G2" i="138" s="1"/>
  <c r="H2" i="138" s="1"/>
  <c r="D2" i="138"/>
  <c r="C2" i="138"/>
  <c r="B2" i="138"/>
  <c r="F2" i="138" s="1"/>
  <c r="C2" i="137"/>
  <c r="B2" i="137"/>
  <c r="C2" i="136"/>
  <c r="B2" i="136"/>
  <c r="B2" i="128"/>
  <c r="B82" i="102" s="1" a="1"/>
  <c r="D2" i="127"/>
  <c r="E2" i="127" s="1"/>
  <c r="C2" i="127"/>
  <c r="B2" i="127"/>
  <c r="B38" i="102"/>
  <c r="B37" i="102"/>
  <c r="B36" i="102"/>
  <c r="B35" i="102"/>
  <c r="B34" i="102"/>
  <c r="B33" i="102"/>
  <c r="B27" i="102"/>
  <c r="B24" i="102"/>
  <c r="B20" i="102"/>
  <c r="B19" i="102"/>
  <c r="W2" i="76"/>
  <c r="C2" i="128" l="1"/>
  <c r="C82" i="102" s="1" a="1"/>
  <c r="J2" i="138"/>
  <c r="I2" i="138"/>
  <c r="B15" i="102"/>
  <c r="B14" i="102"/>
  <c r="B13" i="102"/>
  <c r="B12" i="102"/>
  <c r="B2" i="125"/>
  <c r="D2" i="125" s="1"/>
  <c r="D2" i="124"/>
  <c r="E2" i="124" s="1"/>
  <c r="B2" i="124"/>
  <c r="C2" i="124" s="1"/>
  <c r="B50" i="102"/>
  <c r="B49" i="102"/>
  <c r="B48" i="102"/>
  <c r="B47" i="102"/>
  <c r="B46" i="102"/>
  <c r="B45" i="102"/>
  <c r="B44" i="102"/>
  <c r="B43" i="102"/>
  <c r="B42" i="102"/>
  <c r="B2" i="121"/>
  <c r="C2" i="121" s="1"/>
  <c r="B2" i="120"/>
  <c r="C2" i="120" s="1"/>
  <c r="B2" i="119"/>
  <c r="E2" i="119" s="1"/>
  <c r="C2" i="113"/>
  <c r="B2" i="118"/>
  <c r="C2" i="118" s="1"/>
  <c r="B2" i="116"/>
  <c r="R2" i="116" s="1"/>
  <c r="B8" i="102" s="1"/>
  <c r="E2" i="88"/>
  <c r="C2" i="88"/>
  <c r="D2" i="88"/>
  <c r="B2" i="115"/>
  <c r="B2" i="113"/>
  <c r="D2" i="113" s="1"/>
  <c r="I2" i="106"/>
  <c r="J2" i="106" s="1"/>
  <c r="H2" i="106"/>
  <c r="H2" i="107"/>
  <c r="G2" i="107"/>
  <c r="F2" i="107"/>
  <c r="E2" i="107"/>
  <c r="E2" i="108"/>
  <c r="H2" i="108"/>
  <c r="G2" i="108"/>
  <c r="F2" i="108"/>
  <c r="I2" i="108"/>
  <c r="K2" i="108"/>
  <c r="L2" i="109"/>
  <c r="D2" i="110"/>
  <c r="C2" i="110"/>
  <c r="K2" i="109"/>
  <c r="J2" i="109"/>
  <c r="I2" i="109"/>
  <c r="H2" i="109"/>
  <c r="G2" i="109"/>
  <c r="F2" i="109"/>
  <c r="E2" i="109"/>
  <c r="D2" i="109"/>
  <c r="C2" i="109"/>
  <c r="D2" i="108"/>
  <c r="C2" i="108"/>
  <c r="D2" i="107"/>
  <c r="C2" i="107"/>
  <c r="F2" i="106"/>
  <c r="D2" i="106"/>
  <c r="C2" i="106"/>
  <c r="C2" i="105"/>
  <c r="C2" i="125" l="1"/>
  <c r="G2" i="116"/>
  <c r="F2" i="116"/>
  <c r="B9" i="102" s="1"/>
  <c r="D2" i="119"/>
  <c r="C2" i="119"/>
  <c r="E2" i="118"/>
  <c r="D2" i="118"/>
  <c r="F2" i="118"/>
  <c r="G2" i="118"/>
  <c r="L2" i="116"/>
  <c r="K2" i="116"/>
  <c r="C2" i="116"/>
  <c r="D2" i="116"/>
  <c r="M2" i="116"/>
  <c r="E2" i="116"/>
  <c r="N2" i="116"/>
  <c r="O2" i="116"/>
  <c r="H2" i="116"/>
  <c r="P2" i="116"/>
  <c r="I2" i="116"/>
  <c r="Q2" i="116"/>
  <c r="J2" i="116"/>
  <c r="B2" i="110"/>
  <c r="B2" i="109"/>
  <c r="M2" i="109" s="1"/>
  <c r="L2" i="108"/>
  <c r="B2" i="108"/>
  <c r="J2" i="108" s="1"/>
  <c r="I2" i="107"/>
  <c r="B2" i="107"/>
  <c r="B2" i="106"/>
  <c r="B2" i="105"/>
  <c r="G2" i="106" l="1"/>
  <c r="E2" i="106"/>
  <c r="D2" i="100"/>
  <c r="C2" i="100"/>
  <c r="B2" i="100"/>
  <c r="E2" i="100" s="1"/>
  <c r="C2" i="104" l="1"/>
  <c r="B2" i="104"/>
  <c r="B75" i="102" s="1"/>
  <c r="C75" i="102" s="1"/>
  <c r="C2" i="103"/>
  <c r="B2" i="103"/>
  <c r="D2" i="103" s="1"/>
  <c r="B74" i="102" s="1"/>
  <c r="C74" i="102" s="1"/>
  <c r="B2" i="98"/>
  <c r="B2" i="99"/>
  <c r="B79" i="102" a="1"/>
  <c r="C79" i="102" s="1"/>
  <c r="B78" i="102" a="1"/>
  <c r="C78" i="102" s="1"/>
  <c r="B77" i="102" a="1"/>
  <c r="C77" i="102" s="1"/>
  <c r="B76" i="102" a="1"/>
  <c r="B73" i="102" a="1"/>
  <c r="C73" i="102" s="1"/>
  <c r="B72" i="102" a="1"/>
  <c r="C72" i="102" s="1"/>
  <c r="B71" i="102" a="1"/>
  <c r="C71" i="102" s="1"/>
  <c r="B2" i="97"/>
  <c r="B60" i="102" a="1"/>
  <c r="C60" i="102" s="1"/>
  <c r="B59" i="102" a="1"/>
  <c r="C59" i="102" s="1"/>
  <c r="B58" i="102" a="1"/>
  <c r="C58" i="102" s="1"/>
  <c r="B57" i="102" a="1"/>
  <c r="C50" i="102"/>
  <c r="C49" i="102"/>
  <c r="C48" i="102"/>
  <c r="C47" i="102"/>
  <c r="C46" i="102"/>
  <c r="C45" i="102"/>
  <c r="C44" i="102"/>
  <c r="C43" i="102"/>
  <c r="C42" i="102"/>
  <c r="B40" i="102" a="1"/>
  <c r="C40" i="102" s="1"/>
  <c r="B7" i="102"/>
  <c r="B6" i="102"/>
  <c r="B2" i="95"/>
  <c r="B2" i="96"/>
  <c r="B55" i="102" s="1" a="1"/>
  <c r="C55" i="102" s="1"/>
  <c r="B53" i="102" l="1" a="1"/>
  <c r="C53" i="102" s="1"/>
  <c r="B52" i="102" a="1"/>
  <c r="C52" i="102" s="1"/>
  <c r="B54" i="102" a="1"/>
  <c r="C54" i="102" s="1"/>
  <c r="B63" i="102" a="1"/>
  <c r="C63" i="102" s="1"/>
  <c r="B62" i="102" a="1"/>
  <c r="C62" i="102" s="1"/>
  <c r="B64" i="102" a="1"/>
  <c r="C64" i="102" s="1"/>
  <c r="B61" i="102" a="1"/>
  <c r="C61" i="102" s="1"/>
  <c r="C57" i="102"/>
  <c r="B65" i="102"/>
  <c r="C65" i="102" s="1"/>
  <c r="B2" i="101" l="1"/>
  <c r="C2" i="101" s="1"/>
  <c r="B3" i="102" s="1" a="1"/>
  <c r="B10" i="102" s="1"/>
  <c r="B2" i="92"/>
  <c r="B80" i="102" s="1" a="1"/>
  <c r="B2" i="91"/>
  <c r="B67" i="102" s="1" a="1"/>
  <c r="C67" i="102" s="1"/>
  <c r="B2" i="90"/>
  <c r="F2" i="89"/>
  <c r="E2" i="89"/>
  <c r="D2" i="89"/>
  <c r="C2" i="89"/>
  <c r="B2" i="89"/>
  <c r="H2" i="88"/>
  <c r="F2" i="88"/>
  <c r="G2" i="88" s="1"/>
  <c r="B2" i="88"/>
  <c r="D2" i="87"/>
  <c r="C2" i="87"/>
  <c r="B2" i="87"/>
  <c r="B2" i="85"/>
  <c r="C2" i="85" s="1"/>
  <c r="B4" i="102" s="1" a="1"/>
  <c r="B2" i="81"/>
  <c r="D2" i="72"/>
  <c r="B2" i="72"/>
  <c r="K2" i="76"/>
  <c r="D2" i="85" l="1"/>
  <c r="B5" i="102" s="1" a="1"/>
  <c r="AF2" i="76"/>
  <c r="D2" i="80"/>
  <c r="C2" i="80"/>
  <c r="B2" i="80"/>
  <c r="E2" i="80" s="1"/>
  <c r="C2" i="79" l="1"/>
  <c r="B2" i="79"/>
  <c r="D2" i="79" s="1"/>
  <c r="R2" i="76"/>
  <c r="C2" i="78"/>
  <c r="B2" i="78"/>
  <c r="AI2" i="76"/>
  <c r="AA2" i="76"/>
  <c r="AH2" i="76" s="1"/>
  <c r="Z2" i="76"/>
  <c r="Y2" i="76"/>
  <c r="X2" i="76"/>
  <c r="M2" i="76"/>
  <c r="H2" i="76"/>
  <c r="G2" i="76" s="1"/>
  <c r="J2" i="76" s="1"/>
  <c r="F2" i="76"/>
  <c r="D2" i="76"/>
  <c r="C2" i="76"/>
  <c r="B2" i="76"/>
  <c r="AM2" i="76" l="1"/>
  <c r="AO2" i="76"/>
  <c r="D2" i="78"/>
  <c r="I2" i="78" s="1"/>
  <c r="AN2" i="76"/>
  <c r="I2" i="76"/>
  <c r="AP2" i="76"/>
  <c r="AR2" i="76"/>
  <c r="AK2" i="76"/>
  <c r="AU2" i="76" s="1"/>
  <c r="AS2" i="76"/>
  <c r="AQ2" i="76"/>
  <c r="L2" i="76"/>
  <c r="AJ2" i="76"/>
  <c r="AL2" i="76"/>
  <c r="AT2" i="76"/>
  <c r="B2" i="75"/>
  <c r="F2" i="78" l="1"/>
  <c r="N2" i="78"/>
  <c r="M2" i="78"/>
  <c r="K2" i="78"/>
  <c r="G2" i="78"/>
  <c r="J2" i="78"/>
  <c r="O2" i="78"/>
  <c r="H2" i="78"/>
  <c r="E2" i="78"/>
  <c r="L2" i="78"/>
  <c r="M2" i="66"/>
  <c r="C2" i="72" l="1"/>
  <c r="F2" i="62" l="1"/>
  <c r="B2" i="62" l="1"/>
  <c r="E2" i="62" s="1"/>
  <c r="G2" i="62"/>
  <c r="D2" i="62"/>
  <c r="D2" i="67"/>
  <c r="C2" i="67"/>
  <c r="L2" i="66"/>
  <c r="C2" i="66"/>
  <c r="D2" i="66"/>
  <c r="C2" i="62"/>
  <c r="AG2" i="76" s="1"/>
  <c r="AE2" i="76" l="1"/>
  <c r="AB2" i="76"/>
  <c r="B2" i="66"/>
  <c r="F2" i="66" s="1"/>
  <c r="F2" i="67" l="1"/>
  <c r="B2" i="67"/>
  <c r="E2" i="66"/>
  <c r="C2" i="65"/>
  <c r="B2" i="65"/>
  <c r="C2" i="64"/>
  <c r="B2" i="64"/>
  <c r="G2" i="66" l="1"/>
  <c r="H2" i="66" s="1"/>
  <c r="E2" i="67"/>
  <c r="H2" i="62"/>
  <c r="J2" i="66" l="1"/>
  <c r="I2" i="66"/>
  <c r="J2" i="62"/>
  <c r="R2" i="62"/>
  <c r="I2" i="62"/>
  <c r="L2" i="62"/>
  <c r="M2" i="62"/>
  <c r="N2" i="62"/>
  <c r="O2" i="62"/>
  <c r="P2" i="62"/>
  <c r="Q2" i="62"/>
  <c r="K2" i="62"/>
  <c r="C2" i="60" l="1"/>
  <c r="B2" i="60" s="1" a="1"/>
  <c r="AX2" i="76" l="1"/>
  <c r="AY2" i="76"/>
  <c r="AZ2" i="76"/>
  <c r="AW2" i="76"/>
  <c r="BD2" i="76"/>
  <c r="BA2" i="76"/>
  <c r="BC2" i="76"/>
  <c r="BB2" i="76"/>
  <c r="AV2" i="76"/>
  <c r="P2" i="76" l="1"/>
  <c r="N2" i="76"/>
  <c r="Q2" i="76"/>
  <c r="O2" i="76"/>
  <c r="T2" i="76"/>
  <c r="V2" i="76"/>
  <c r="U2" i="76" a="1"/>
  <c r="U2" i="76" s="1"/>
  <c r="B2" i="60"/>
  <c r="C132" i="139"/>
  <c r="C131" i="139"/>
  <c r="C130" i="139"/>
  <c r="C129" i="139"/>
  <c r="C128" i="139"/>
  <c r="C127" i="139"/>
  <c r="C126" i="139"/>
  <c r="C125" i="139"/>
  <c r="C124" i="139"/>
  <c r="C123" i="139"/>
  <c r="C122" i="139"/>
  <c r="C121" i="139"/>
  <c r="C120" i="139"/>
  <c r="C119" i="139"/>
  <c r="C118" i="139"/>
  <c r="C117" i="139"/>
  <c r="C116" i="139"/>
  <c r="C115" i="139"/>
  <c r="C114" i="139"/>
  <c r="C113" i="139"/>
  <c r="C112" i="139"/>
  <c r="C111" i="139"/>
  <c r="C110" i="139"/>
  <c r="C109" i="139"/>
  <c r="C108" i="139"/>
  <c r="C107" i="139"/>
  <c r="C106" i="139"/>
  <c r="C105" i="139"/>
  <c r="C104" i="139"/>
  <c r="C103" i="139"/>
  <c r="C102" i="139"/>
  <c r="C101" i="139"/>
  <c r="C100" i="139"/>
  <c r="C99" i="139"/>
  <c r="C98" i="139"/>
  <c r="C97" i="139"/>
  <c r="C96" i="139"/>
  <c r="C95" i="139"/>
  <c r="C94" i="139"/>
  <c r="C93" i="139"/>
  <c r="C92" i="139"/>
  <c r="C91" i="139"/>
  <c r="C90" i="139"/>
  <c r="C89" i="139"/>
  <c r="C88" i="139"/>
  <c r="C87" i="139"/>
  <c r="C86" i="139"/>
  <c r="C85" i="139"/>
  <c r="C84" i="139"/>
  <c r="C83" i="139"/>
  <c r="C82" i="139"/>
  <c r="C81" i="139"/>
  <c r="C80" i="139"/>
  <c r="C79" i="139"/>
  <c r="C78" i="139"/>
  <c r="C77" i="139"/>
  <c r="C76" i="139"/>
  <c r="C75" i="139"/>
  <c r="C74" i="139"/>
  <c r="C73" i="139"/>
  <c r="C72" i="139"/>
  <c r="C71" i="139"/>
  <c r="C70" i="139"/>
  <c r="C69" i="139"/>
  <c r="C68" i="139"/>
  <c r="C67" i="139"/>
  <c r="C66" i="139"/>
  <c r="C65" i="139"/>
  <c r="C64" i="139"/>
  <c r="C63" i="139"/>
  <c r="C62" i="139"/>
  <c r="C61" i="139"/>
  <c r="C60" i="139"/>
  <c r="C59" i="139"/>
  <c r="C58" i="139"/>
  <c r="C57" i="139"/>
  <c r="C56" i="139"/>
  <c r="C55" i="139"/>
  <c r="C54" i="139"/>
  <c r="C53" i="139"/>
  <c r="C52" i="139"/>
  <c r="C51" i="139"/>
  <c r="C50" i="139"/>
  <c r="C49" i="139"/>
  <c r="C48" i="139"/>
  <c r="C47" i="139"/>
  <c r="C46" i="139"/>
  <c r="C45" i="139"/>
  <c r="C44" i="139"/>
  <c r="C43" i="139"/>
  <c r="C42" i="139"/>
  <c r="C41" i="139"/>
  <c r="C40" i="139"/>
  <c r="C39" i="139"/>
  <c r="C38" i="139"/>
  <c r="C37" i="139"/>
  <c r="C36" i="139"/>
  <c r="C35" i="139"/>
  <c r="C34" i="139"/>
  <c r="C33" i="139"/>
  <c r="C32" i="139"/>
  <c r="C31" i="139"/>
  <c r="C30" i="139"/>
  <c r="C29" i="139"/>
  <c r="C28" i="139"/>
  <c r="C27" i="139"/>
  <c r="C26" i="139"/>
  <c r="C25" i="139"/>
  <c r="C24" i="139"/>
  <c r="C23" i="139"/>
  <c r="C22" i="139"/>
  <c r="C21" i="139"/>
  <c r="C20" i="139"/>
  <c r="C19" i="139"/>
  <c r="C18" i="139"/>
  <c r="C17" i="139"/>
  <c r="C16" i="139"/>
  <c r="C15" i="139"/>
  <c r="C14" i="139"/>
  <c r="C13" i="139"/>
  <c r="C12" i="139"/>
  <c r="C11" i="139"/>
  <c r="C10" i="139"/>
  <c r="C9" i="139"/>
  <c r="C8" i="139"/>
  <c r="C7" i="139"/>
  <c r="C6" i="139"/>
  <c r="C5" i="139"/>
  <c r="C4" i="139"/>
  <c r="C3" i="139"/>
  <c r="C2" i="139"/>
  <c r="C82" i="102"/>
  <c r="B82" i="102"/>
  <c r="B80" i="102"/>
  <c r="B79" i="102"/>
  <c r="B78" i="102"/>
  <c r="B77" i="102"/>
  <c r="B76" i="102"/>
  <c r="B73" i="102"/>
  <c r="B72" i="102"/>
  <c r="B71" i="102"/>
  <c r="B67" i="102"/>
  <c r="B64" i="102"/>
  <c r="B63" i="102"/>
  <c r="B62" i="102"/>
  <c r="B61" i="102"/>
  <c r="B60" i="102"/>
  <c r="B59" i="102"/>
  <c r="B58" i="102"/>
  <c r="B57" i="102"/>
  <c r="B55" i="102"/>
  <c r="B54" i="102"/>
  <c r="B53" i="102"/>
  <c r="B52" i="102"/>
  <c r="B40" i="102"/>
  <c r="B5" i="102"/>
  <c r="B4" i="102"/>
  <c r="B3" i="10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<sst xmlns="http://schemas.openxmlformats.org/spreadsheetml/2006/main" count="1140" uniqueCount="600">
  <si>
    <t>PASTE ONE LINE CONFIG HERE</t>
  </si>
  <si>
    <t>VS NAME</t>
  </si>
  <si>
    <t>SOURCE IP</t>
  </si>
  <si>
    <t>VS IP</t>
  </si>
  <si>
    <t>VS PORT</t>
  </si>
  <si>
    <t>PROTOCOL</t>
  </si>
  <si>
    <t>PERSIST</t>
  </si>
  <si>
    <t>POOL</t>
  </si>
  <si>
    <t>SNAT</t>
  </si>
  <si>
    <t>FALLBACK PERSIST</t>
  </si>
  <si>
    <t>FASTL4 PROFILE</t>
  </si>
  <si>
    <t>ALL PROFILES</t>
  </si>
  <si>
    <t>COUNT PROFILE / DIVIDE BY 2</t>
  </si>
  <si>
    <t>http</t>
  </si>
  <si>
    <t>tcp</t>
  </si>
  <si>
    <t>TYPE</t>
  </si>
  <si>
    <t>PROFILE NAME</t>
  </si>
  <si>
    <t>PROFILE TYPE 1</t>
  </si>
  <si>
    <t>PROFILE TYPE 2</t>
  </si>
  <si>
    <t>PROFILE TYPE 3</t>
  </si>
  <si>
    <t>PROFILE TYPE 4</t>
  </si>
  <si>
    <t>PROFILE TYPE 5</t>
  </si>
  <si>
    <t>IRULE COUNT</t>
  </si>
  <si>
    <t>NAME</t>
  </si>
  <si>
    <t>PARTITION</t>
  </si>
  <si>
    <t>PROFILE TYPE 6</t>
  </si>
  <si>
    <t>PROFILE TYPE 7</t>
  </si>
  <si>
    <t>PROFILE TYPE 8</t>
  </si>
  <si>
    <t>PROFILE TYPE 9</t>
  </si>
  <si>
    <t>PROFILE TYPE 10</t>
  </si>
  <si>
    <t>PROFILE</t>
  </si>
  <si>
    <t>REMARKS</t>
  </si>
  <si>
    <t>Default profile not shown in bigip.conf</t>
  </si>
  <si>
    <t>IRULE</t>
  </si>
  <si>
    <t>DESCRIPTION</t>
  </si>
  <si>
    <t>SSL TRAFFIC</t>
  </si>
  <si>
    <t>POOL NAME</t>
  </si>
  <si>
    <t>LOAD BALANCING MODE</t>
  </si>
  <si>
    <t>MONITOR</t>
  </si>
  <si>
    <t>POOL MEMBERS</t>
  </si>
  <si>
    <t>POOL MEMBER COUNT</t>
  </si>
  <si>
    <t>1</t>
  </si>
  <si>
    <t>3</t>
  </si>
  <si>
    <t>5</t>
  </si>
  <si>
    <t>7</t>
  </si>
  <si>
    <t>9</t>
  </si>
  <si>
    <t>SEND STRING (NO FORMULA YET)</t>
  </si>
  <si>
    <t>RECEIVE STRING (NO FORMULA YET)</t>
  </si>
  <si>
    <t>CACHE PATH</t>
  </si>
  <si>
    <t>CERT</t>
  </si>
  <si>
    <t>KEY</t>
  </si>
  <si>
    <t>CERT CACHE PATH</t>
  </si>
  <si>
    <t>KEY CACHE PATH</t>
  </si>
  <si>
    <t>CIPHERS</t>
  </si>
  <si>
    <t>MONITOR NAME</t>
  </si>
  <si>
    <t>SEND STRING</t>
  </si>
  <si>
    <t>RECEIVE STRING</t>
  </si>
  <si>
    <t>Replace last } with " }"</t>
  </si>
  <si>
    <t>11</t>
  </si>
  <si>
    <t>13</t>
  </si>
  <si>
    <t>15</t>
  </si>
  <si>
    <t>17</t>
  </si>
  <si>
    <t>19</t>
  </si>
  <si>
    <t>/Common/http</t>
  </si>
  <si>
    <t>/Common/http-explicit</t>
  </si>
  <si>
    <t>/Common/http-transparent</t>
  </si>
  <si>
    <t>/Common/apm-forwarding-client-tcp</t>
  </si>
  <si>
    <t>/Common/apm-forwarding-server-tcp</t>
  </si>
  <si>
    <t>/Common/f5-tcp-lan</t>
  </si>
  <si>
    <t>/Common/f5-tcp-mobile</t>
  </si>
  <si>
    <t>/Common/f5-tcp-progressive</t>
  </si>
  <si>
    <t>/Common/f5-tcp-wan</t>
  </si>
  <si>
    <t>/Common/mptcp-mobile-optimized</t>
  </si>
  <si>
    <t>/Common/splitsession-default-tcp</t>
  </si>
  <si>
    <t>/Common/tcp</t>
  </si>
  <si>
    <t>/Common/tcp-lan-optimized</t>
  </si>
  <si>
    <t>/Common/tcp-legacy</t>
  </si>
  <si>
    <t>/Common/tcp-mobile-optimized</t>
  </si>
  <si>
    <t>/Common/tcp-wan-optimized</t>
  </si>
  <si>
    <t>/Common/tcp_akamai</t>
  </si>
  <si>
    <t>/Common/wam-tcp-lan-optimized</t>
  </si>
  <si>
    <t>/Common/wam-tcp-wan-optimized</t>
  </si>
  <si>
    <t>/Common/wom-tcp-lan-optimized</t>
  </si>
  <si>
    <t>/Common/wom-tcp-wan-optimized</t>
  </si>
  <si>
    <t>SNAT (&lt;v11.6)</t>
  </si>
  <si>
    <t>Column1</t>
  </si>
  <si>
    <t>VS IP PORT</t>
  </si>
  <si>
    <t>FileName</t>
  </si>
  <si>
    <t>FilePath</t>
  </si>
  <si>
    <t>Subject</t>
  </si>
  <si>
    <t>Thumbprint</t>
  </si>
  <si>
    <t>SAN</t>
  </si>
  <si>
    <t>REMOVE FILE STORE PATH</t>
  </si>
  <si>
    <t>VS IP TYPE</t>
  </si>
  <si>
    <t>/Common/udp</t>
  </si>
  <si>
    <t>udp</t>
  </si>
  <si>
    <t>2</t>
  </si>
  <si>
    <t>4</t>
  </si>
  <si>
    <t>6</t>
  </si>
  <si>
    <t>8</t>
  </si>
  <si>
    <t>10</t>
  </si>
  <si>
    <t>PROFILE TYPE</t>
  </si>
  <si>
    <t>CIPHER GROUP</t>
  </si>
  <si>
    <t>SNATPOOL NAME</t>
  </si>
  <si>
    <t>NDOE NAME</t>
  </si>
  <si>
    <t>ADDRESS</t>
  </si>
  <si>
    <t>NETWORK</t>
  </si>
  <si>
    <t>Hostname</t>
  </si>
  <si>
    <t>Management Port IP Address</t>
  </si>
  <si>
    <t>Management Port Net Mask</t>
  </si>
  <si>
    <t>Module</t>
  </si>
  <si>
    <t>NTP Server</t>
  </si>
  <si>
    <t>DNS Server</t>
  </si>
  <si>
    <t>Syslog Server</t>
  </si>
  <si>
    <t>Password Policy</t>
  </si>
  <si>
    <t>MGMT IP</t>
  </si>
  <si>
    <t>TRUNK NAME</t>
  </si>
  <si>
    <t>INTERFACE</t>
  </si>
  <si>
    <t>LACP</t>
  </si>
  <si>
    <t>VLAN NAME</t>
  </si>
  <si>
    <t>FAILSAFE</t>
  </si>
  <si>
    <t>FAILSAFE ACTION</t>
  </si>
  <si>
    <t>FAILSAFE TIMEOUT</t>
  </si>
  <si>
    <t>TAG</t>
  </si>
  <si>
    <t>VLAN ID</t>
  </si>
  <si>
    <t>SELF IP NAME</t>
  </si>
  <si>
    <t>ALLOW SERVICE</t>
  </si>
  <si>
    <t>TRAFFIC GROUP</t>
  </si>
  <si>
    <t>VLAN</t>
  </si>
  <si>
    <t>GATEWAY IP</t>
  </si>
  <si>
    <t>Management Gateway</t>
  </si>
  <si>
    <t>UCS SETTING</t>
  </si>
  <si>
    <t>CIS SETTING</t>
  </si>
  <si>
    <t>CIS RECOMMENDATION</t>
  </si>
  <si>
    <t>CIS DESCRIPTION</t>
  </si>
  <si>
    <t>CIS RATIONALE</t>
  </si>
  <si>
    <t>CIS IMPACT</t>
  </si>
  <si>
    <t>CIS REFERENCE</t>
  </si>
  <si>
    <t>SYSTEM INFORMATION</t>
  </si>
  <si>
    <t>N/A</t>
  </si>
  <si>
    <t>PASSWORD POLICY</t>
  </si>
  <si>
    <t>auth password-policy { 
expiration-warning 14 
lockout-duration 300 
manual-unlock-disabled true 
max-duration 180 
max-login-failures 3 
min-duration 90 
minimum-length 12 
password-memory 24 
required-lowercase 1 
required-numeric 1 
required-special 1 
required-uppercase 1 
}</t>
  </si>
  <si>
    <t>1.1.3 Configure Secure Password Policy (Manual)</t>
  </si>
  <si>
    <t>To assist users in maintaining strong passwords, ensure that passwords are changed at appropriate intervals and new passwords to be used</t>
  </si>
  <si>
    <t>Having a weak or non-existent password policy will allow users to use weak or easily cracked passwords.</t>
  </si>
  <si>
    <t>Without proper password management the users are more likely to select weak passwords or forget complex passwords. This can create security risks as these passwords make it easier for attackers to crack.</t>
  </si>
  <si>
    <t>https://support.f5.com/csp/article/K15497</t>
  </si>
  <si>
    <t>REMOTE AUTHENTICATION</t>
  </si>
  <si>
    <t>auth source { type radius }</t>
  </si>
  <si>
    <t>2.1 Ensure that Remote Radius is used for Authentication Only (Automated)</t>
  </si>
  <si>
    <t>To specify the authentication mechanism that F5 systems use for external (remote) users</t>
  </si>
  <si>
    <t>Uncontrolled and illegitimate authentication could provide access to unauthorized users</t>
  </si>
  <si>
    <t>Uncontrolled and illegitimate authentication mechanism provides access to illegitimates remote users on the systems. It is important to make sure of the right Authentication mechanism used. Radius is configured as Authentication Only. Radius in turns query LDAP for remote users authentication and authorization.</t>
  </si>
  <si>
    <t>auth radius-server system_auth_name1 { secret &lt;secret&gt; server &lt;ip&gt; }</t>
  </si>
  <si>
    <t>2.2 Ensure redundant remote authentication servers are configured (Manual)</t>
  </si>
  <si>
    <t>Having multiple points of authentication is important in the event that the primary remote authentication source goes down.</t>
  </si>
  <si>
    <t>To make sure the redundant Radius servers are configured</t>
  </si>
  <si>
    <t>Having a single Authentication server reduce the availability for systems operators and admins to perform their tasks and support when the Radius server is down</t>
  </si>
  <si>
    <t>auth radius-server system_auth_name2 { secret &lt;secret&gt; server &lt;ip&gt; }</t>
  </si>
  <si>
    <t>Does not show auth source { fallback true }</t>
  </si>
  <si>
    <t>2.3 Ensure that "Fallback to local" option is disabled for Remote Authentication Settings (Manual)</t>
  </si>
  <si>
    <t>To prevent the system from checking local DB for remote users authentication</t>
  </si>
  <si>
    <t>None</t>
  </si>
  <si>
    <t>Though the impact might be low, it is a good practice to segregate remote users from local and to limit local users’ usage.</t>
  </si>
  <si>
    <t>https://support.f5.com/csp/article/K67025432</t>
  </si>
  <si>
    <t>auth remote-user { remote-console-access disabled }</t>
  </si>
  <si>
    <t>2.4 Ensure External Users' role is set to "No Access" (Automated)</t>
  </si>
  <si>
    <t>To set a default role for remote users Authentication and authorization for remote users are handled by third party system</t>
  </si>
  <si>
    <t>Providing remote users with a preconfigured role might allow unauthorized access to these users.</t>
  </si>
  <si>
    <t>auth remote-role { role-info { /Common/Administrators { attribute "&lt;F5 Admin DN&gt;" console tmsh line-order 1000 role admin user-partition all } }}</t>
  </si>
  <si>
    <t>2.5 Ensure External Users' has access to needed Partitions only (Automated)</t>
  </si>
  <si>
    <t>To limit access for remote users to needed partitions only granting a user access to "All Partitions" might provide the users unauthorized access.</t>
  </si>
  <si>
    <t>Though , there is one partition is configured currently on WD F5 systems ( common) , It is a good practice to specify which partition the users allowed to access.</t>
  </si>
  <si>
    <t>2.6 Ensure External Users' Terminal Access is Disabled (Automated)</t>
  </si>
  <si>
    <t>To prevent remote users from gaining terminal access\</t>
  </si>
  <si>
    <t>NON-COMPLIANCE</t>
  </si>
  <si>
    <t>GUI INTERFACE MANAGEMENT</t>
  </si>
  <si>
    <t xml:space="preserve">auth-pam-idle-timeout </t>
  </si>
  <si>
    <t>600 or less</t>
  </si>
  <si>
    <t>3.1 Ensure 'Idle timeout' is less than or equal to 10 minutes for Configuration utility sessions (Automated)</t>
  </si>
  <si>
    <t>To set an idle timeout for GUI sessions</t>
  </si>
  <si>
    <t>Unattended administrative sessions may provide illegal access to the device</t>
  </si>
  <si>
    <t>Indefinite or even long session timeout windows can increase the risk of attackers abusing abandoned sessions.</t>
  </si>
  <si>
    <t>https://support.f5.com/csp/article/K9908</t>
  </si>
  <si>
    <t xml:space="preserve">ssl-protocol </t>
  </si>
  <si>
    <t>TLSv1.2</t>
  </si>
  <si>
    <t>3.2 Ensure access to Configuration utility by clients using TLS version 1.2 or later (Automated)</t>
  </si>
  <si>
    <t>TLSv1.2 should be used for GUI connections</t>
  </si>
  <si>
    <t>Restricting the configuration utility to use TLS version 1.2 is recommended</t>
  </si>
  <si>
    <t>Weak security protocols may expose vulnerability by disclosing data through SSL/TLS sessions</t>
  </si>
  <si>
    <t>https://support.f5.com/csp/article/K02321234</t>
  </si>
  <si>
    <t xml:space="preserve">allow { </t>
  </si>
  <si>
    <t>&lt;specific ip&gt;
Does not show All</t>
  </si>
  <si>
    <t>3.3 Ensure access to Configuration utility is restricted to needed IP addresses only (Automated)</t>
  </si>
  <si>
    <t>It is recommended to maintain secure access to the GUI by allowing only trusted IP addresses or range of IP addresses</t>
  </si>
  <si>
    <t>Any compromised network device within enterprise network would gain illegal access to F5 configuration utility abusing existing unresolved vulnerabilities.</t>
  </si>
  <si>
    <t>Allowing any IP address to access may expose the management interface of F5 to different types of attacks such as DoS</t>
  </si>
  <si>
    <t>https://support.f5.com/csp/article/K13309</t>
  </si>
  <si>
    <t xml:space="preserve">ssl-ciphersuite </t>
  </si>
  <si>
    <t>CLI INTERFACE MANAGEMENT</t>
  </si>
  <si>
    <t xml:space="preserve">banner </t>
  </si>
  <si>
    <t>4.1 Ensure Prelogin 'Login Banner' is set (Manual)</t>
  </si>
  <si>
    <t>Failure to display adequate warning messages could result in the loss of litigation capabilities.</t>
  </si>
  <si>
    <t>https://support.f5.com/csp/article/K6068</t>
  </si>
  <si>
    <t xml:space="preserve">inactivity-timeout </t>
  </si>
  <si>
    <t>4.2 Ensure 'Idle timeout' is less than or equal to 10 minutes for SSH connections (Manual)</t>
  </si>
  <si>
    <t>To set an idle timeout for SSH sessions</t>
  </si>
  <si>
    <t>Indefinite or even long session timeout window increase the risk of attackers abusing abandoned sessions</t>
  </si>
  <si>
    <t>cli global-settings idle-timeout</t>
  </si>
  <si>
    <t>cli global-settings { idle-timeout 10}</t>
  </si>
  <si>
    <t>4.3 Ensure 'Idle timeout' is less than or equal to 10 minutes for tmsh sessions (Manual)</t>
  </si>
  <si>
    <t>To set an idle timeout for tmsh sessions</t>
  </si>
  <si>
    <t>Indefinite or even long session timeout window increases the risk of attackers abusing abandoned sessions.</t>
  </si>
  <si>
    <t>https://support.f5.com/csp/article/K9908#ssh</t>
  </si>
  <si>
    <t xml:space="preserve">console-inactivity-timeout </t>
  </si>
  <si>
    <t>4.4 Ensure 'Idle timeout' is less than or equal to 10 minutes for serial console sessions (Manual)</t>
  </si>
  <si>
    <t>To set an idle timeout for serial console sessions.</t>
  </si>
  <si>
    <t>Ciphers aes128-cbc,aes128-ctr,aes192-ctr,aes256-ctr,arcfour128,arcfour256,arcfour
EN: However aes128-cbc,arcfour128,arcfour256,arcfour are no longer secure.
We recommend using aes256-ctr.</t>
  </si>
  <si>
    <t>4.5 Ensure minimum SSH Encryption algorithm is set to aes128-cbc (Manual)</t>
  </si>
  <si>
    <t>To set strong SSH Encryption algorithm.</t>
  </si>
  <si>
    <t>Weak encryption algorithms make it possible for attackers to decrypt traffic and reduce the confidentiality capability that SSH provides for remote connections.</t>
  </si>
  <si>
    <t>https://support.f5.com/csp/article/K80425458</t>
  </si>
  <si>
    <t>MACs hmac-sha2-256</t>
  </si>
  <si>
    <t>4.6 Ensure to set SSH MAC algorithm to hmac-sha2-256 (Manual)</t>
  </si>
  <si>
    <t>To set strong Hashing algorithm</t>
  </si>
  <si>
    <t>Weak MAC algorithms make it possible for attackers to bypass authentication , steal keys and reduce the integrity capability that SSH provides for remote connections.</t>
  </si>
  <si>
    <t>4.7 Ensure to set Strong SSH KEY Exchange algorithm (Manual)</t>
  </si>
  <si>
    <t>To set strong Key Exchange algorithm</t>
  </si>
  <si>
    <t>Weak Key Exchange algorithms make it possible for attackers to bypass authentication , steal keys and reduce the integrity capability that SSH provides for remote connections .</t>
  </si>
  <si>
    <t>&lt;specific ip&gt;
Does not show ALL</t>
  </si>
  <si>
    <t>4.8 Ensure access SSH to CLI interface is restricted to needed IP addresses only (Manual)</t>
  </si>
  <si>
    <t>To limit ssh access to trusted IPs only</t>
  </si>
  <si>
    <t>Restricting access to the system MGT interface is to ensure that even if an attacker gains access to privileged credentials, his/her ability to get in and do damage is still limited.</t>
  </si>
  <si>
    <t>https://support.f5.com/csp/article/K5380</t>
  </si>
  <si>
    <t>SYSTEM</t>
  </si>
  <si>
    <t>5.1 Ensure redundant NTP servers are configured appropriately (Manual)</t>
  </si>
  <si>
    <t>To ensure redundant NTP servers are configured.</t>
  </si>
  <si>
    <t>Failing to connect to an NTP server results on incorrect time zone and date which impacts several functions on BIG-IP systems. It is recommended to have dual NTP servers configured to avoid single point of failure.</t>
  </si>
  <si>
    <t>-</t>
  </si>
  <si>
    <t>N/A as this is applicable for BIG-IP 11.x through 14.0.x.</t>
  </si>
  <si>
    <t>5.2 Ensure to exclude inode information from ETags HTTP Header (Manual)</t>
  </si>
  <si>
    <t>To prevent the disclosure of inode information when accessing Configuration utility (GUI).</t>
  </si>
  <si>
    <t>When connecting to the Configuration utility, responses from the Apache server contain an Etag HTTP header that includes the file's inode information.(CVE-2003-1418).</t>
  </si>
  <si>
    <t>https://support.f5.com/csp/article/K14206</t>
  </si>
  <si>
    <t>Self IP</t>
  </si>
  <si>
    <t xml:space="preserve">Refer to Self-ip sheet
</t>
  </si>
  <si>
    <t>4-If the specified interface does not need to listen to incoming connections ( Example BGP ,BDF ..etc) , set "Port Lockdown" to "Allow None" 
5-If the specified interface need to listen for incoming connections , set "Port Lockdown" to "Allow Custom". Then in the "Custom List" add needed ports only.</t>
  </si>
  <si>
    <t>5.3 Ensure port lockdown for self IP is set (Manual)</t>
  </si>
  <si>
    <t>To secure the BIG-IP system from unwanted connection attempts on self-IP.</t>
  </si>
  <si>
    <t>Default settings allow BIG-IP to listen on several ports on which some are not needed . Attackers may initiate attacks against the system self IPs on these ports . To reduce the risk , only needed ports should be enabled on self IPs.</t>
  </si>
  <si>
    <t>https://support.f5.com/csp/article/K17333</t>
  </si>
  <si>
    <t>5.4 Ensure to disable unused services in BIG-IP configuration (Manual)</t>
  </si>
  <si>
    <t>To disable unused BIG-IP system daemons</t>
  </si>
  <si>
    <t>Many systems break-ins are a result of people taking advantage of security holes or problems with these programs. The more services that are running on your system, the more opportunities there are for others to use them, break into or take control of your system through them.</t>
  </si>
  <si>
    <t>https://support.f5.com/csp/article/K05645522</t>
  </si>
  <si>
    <t>SNMP Client Allow List</t>
  </si>
  <si>
    <t xml:space="preserve">allowed-addresses 
{ 
127.0.0.0/8 
&lt;trusted ip&gt; 
</t>
  </si>
  <si>
    <t>6.1 Ensure that SNMP access is allowed to trusted agents IPs only (Manual)</t>
  </si>
  <si>
    <t>To limit access to trusted SNMP agents only</t>
  </si>
  <si>
    <t>Failing on restricting access to SNMP may allow unauthorised systems to gain access to the network device.</t>
  </si>
  <si>
    <t>https://support.f5.com/csp/article/K13535</t>
  </si>
  <si>
    <t>SNMP Agent v3</t>
  </si>
  <si>
    <t xml:space="preserve">users 
{ 
/Common/i&lt;name&gt; 
{ 
auth-password 
&lt;encrypted&gt;
auth-password-encrypted 
&lt;encrypted&gt;
auth-protocol 
sha 
oid-subset 
.1 
privacy-password 
&lt;encrypted&gt;
privacy-password-encrypted 
&lt;encrypted&gt;
privacy-protocol 
aes 
security-level 
auth-privacy 
username 
&lt;username&gt;
} 
</t>
  </si>
  <si>
    <t>6.2 Ensure minimum SNMP version is set to V3 for agent access (Manual)</t>
  </si>
  <si>
    <t>To disable the usage of weak SNMP protocols</t>
  </si>
  <si>
    <t>Abuse of SNMP settings could allow an unauthorised third party to gain access to a network device when weak SNMP protocols are used.These protocols ( prior to v3) lack the ability of authentication and encryption.</t>
  </si>
  <si>
    <t>https://support.f5.com/csp/article/K13625</t>
  </si>
  <si>
    <t>SNMP Trap</t>
  </si>
  <si>
    <t>sys db ui.logaccess.accelerationpolicyeditor { value "disable" }
sys db ui.logaccess.applicationeditor { value "disable" }
sys db ui.logaccess.applicationsecurityadmin { value "disable" }
sys db ui.logaccess.applicationsecurityeditor { value "disable" }
sys db ui.logaccess.applicationsecurityoperationsadministrator { value "disable" }
sys db ui.logaccess.certificatemanager { value "disable" }
sys db ui.logaccess.firewallmanager { value "disable" }
sys db ui.logaccess.fraudprotectionmanager { value "disable" }
sys db ui.logaccess.guest { value "disable" }
sys db ui.logaccess.irulemanager { value "disable" }
sys db ui.logaccess.manager { value "disable" }
sys db ui.logaccess.operator { value "disable" }
sys db ui.logaccess.usermanager { value "disable" }</t>
  </si>
  <si>
    <t>6.3 Ensure to lockdown access logs to "Administrator , Resource Administrator and Auditor " roles only (Manual)</t>
  </si>
  <si>
    <t>To restrict access to the system logs.</t>
  </si>
  <si>
    <t>6.4 Ensure that audit logging for "MCP, tmsh and GUI" is set to enabled (Manual)</t>
  </si>
  <si>
    <t>To enable audit logging on configuration changes that users or services make to the BIG-IP system.</t>
  </si>
  <si>
    <t>Audit logging provides a mechanism to investigate security incidents and unauthorised activities . It is also necessary for compliance auditing.</t>
  </si>
  <si>
    <t xml:space="preserve">audit </t>
  </si>
  <si>
    <t xml:space="preserve">gui-audit </t>
  </si>
  <si>
    <t>&lt;syslogip&gt;</t>
  </si>
  <si>
    <t>6.5 Ensure that Remote Syslog Servers are configured (Manual)</t>
  </si>
  <si>
    <t>To ensure that logs are sent to external servers</t>
  </si>
  <si>
    <t>In case of hardware failure , logs stored locally can be lost. This impacts the ability of investigating security incidents and be in compliance with the requirements of logs retention period.</t>
  </si>
  <si>
    <t>https://support.f5.com/csp/article/K13080</t>
  </si>
  <si>
    <t>Syslog ISO Date</t>
  </si>
  <si>
    <t>HOSTNAME</t>
  </si>
  <si>
    <t>SERVER IP</t>
  </si>
  <si>
    <t>ROLE</t>
  </si>
  <si>
    <t>DEFAULT</t>
  </si>
  <si>
    <t>DB</t>
  </si>
  <si>
    <t>COMBINED</t>
  </si>
  <si>
    <t>Access Logs</t>
  </si>
  <si>
    <t>[Config.Auditing]</t>
  </si>
  <si>
    <t>COMPLIANT/
NON-COMPLIANT/
DEVIATE</t>
  </si>
  <si>
    <t>Unused services</t>
  </si>
  <si>
    <t>Information not available in UCS</t>
  </si>
  <si>
    <t>USERNAME</t>
  </si>
  <si>
    <t>SHELL</t>
  </si>
  <si>
    <t>Substitute last } with " }"</t>
  </si>
  <si>
    <t>DATACENTER NAME</t>
  </si>
  <si>
    <t>SERVER NAME</t>
  </si>
  <si>
    <t>DATACENTER</t>
  </si>
  <si>
    <t>DEVICES</t>
  </si>
  <si>
    <t>PRODUCT</t>
  </si>
  <si>
    <t>VIRTUAL SERVER DISCOVERY</t>
  </si>
  <si>
    <t>VIRTUAL SERVER (WRAP TEXT TO SEE LIST OF VS)</t>
  </si>
  <si>
    <t>Pool Member Count</t>
  </si>
  <si>
    <t>RECORD TYPE</t>
  </si>
  <si>
    <t>RECORD</t>
  </si>
  <si>
    <t>PERSISTENCE</t>
  </si>
  <si>
    <t>WIDE IP LOAD BALANCING MODE</t>
  </si>
  <si>
    <t>TTL PERSISTENCE</t>
  </si>
  <si>
    <t>POOL COUNT</t>
  </si>
  <si>
    <t>POOL TYPE</t>
  </si>
  <si>
    <t>POOL LOAD BALANCING MODE 
(PREFFERED)</t>
  </si>
  <si>
    <t>POOL LOAD BALANCING MODE (ALTERNATE)</t>
  </si>
  <si>
    <t>POOL LOAD BALANCING MODE (FALLBACK)</t>
  </si>
  <si>
    <t>FALLBACK IP</t>
  </si>
  <si>
    <t>TTL</t>
  </si>
  <si>
    <t>MONITOR TYPE</t>
  </si>
  <si>
    <t>CIPHERLIST</t>
  </si>
  <si>
    <t>COMPATIBILITY</t>
  </si>
  <si>
    <t>DEFAULTS FROM</t>
  </si>
  <si>
    <t>DESTINATION</t>
  </si>
  <si>
    <t>INTERVAL</t>
  </si>
  <si>
    <t>PROBE TIMEOUT</t>
  </si>
  <si>
    <t>RECEIVE</t>
  </si>
  <si>
    <t>SEND</t>
  </si>
  <si>
    <t>TIMEOUT</t>
  </si>
  <si>
    <t>LDNS</t>
  </si>
  <si>
    <t>SERVER</t>
  </si>
  <si>
    <t>POOL MEMBERS (WRAP TEXT TO VIEW MULTILINE)</t>
  </si>
  <si>
    <t xml:space="preserve">cm device </t>
  </si>
  <si>
    <t>active-modules { "</t>
  </si>
  <si>
    <t xml:space="preserve">base-mac </t>
  </si>
  <si>
    <t xml:space="preserve"> chassis-id </t>
  </si>
  <si>
    <t xml:space="preserve">chassis-type </t>
  </si>
  <si>
    <t xml:space="preserve">configsync-ip </t>
  </si>
  <si>
    <t xml:space="preserve">hostname </t>
  </si>
  <si>
    <t xml:space="preserve">management-ip </t>
  </si>
  <si>
    <t xml:space="preserve">mirror-ip </t>
  </si>
  <si>
    <t xml:space="preserve">platform-id </t>
  </si>
  <si>
    <t xml:space="preserve">product </t>
  </si>
  <si>
    <t xml:space="preserve">time-zone </t>
  </si>
  <si>
    <t xml:space="preserve">unicast-address { { </t>
  </si>
  <si>
    <t xml:space="preserve">version </t>
  </si>
  <si>
    <t>marketing-name "</t>
  </si>
  <si>
    <t xml:space="preserve">cm device-group </t>
  </si>
  <si>
    <t xml:space="preserve"> auto-sync </t>
  </si>
  <si>
    <t xml:space="preserve">devices { </t>
  </si>
  <si>
    <t xml:space="preserve"> type </t>
  </si>
  <si>
    <t xml:space="preserve">network-failover </t>
  </si>
  <si>
    <t xml:space="preserve">net route-domain </t>
  </si>
  <si>
    <t xml:space="preserve">vlans { </t>
  </si>
  <si>
    <t xml:space="preserve">net tunnels tunnel </t>
  </si>
  <si>
    <t>description "</t>
  </si>
  <si>
    <t xml:space="preserve">profile </t>
  </si>
  <si>
    <t xml:space="preserve">build </t>
  </si>
  <si>
    <t>Software Version</t>
  </si>
  <si>
    <t>Build</t>
  </si>
  <si>
    <t>Serial Number</t>
  </si>
  <si>
    <t xml:space="preserve">cm traffic-group </t>
  </si>
  <si>
    <t xml:space="preserve">cm trust-domain </t>
  </si>
  <si>
    <t>No of Virtual Servers</t>
  </si>
  <si>
    <t>No of Pools</t>
  </si>
  <si>
    <t>No of VLAN</t>
  </si>
  <si>
    <t>No of Self IP</t>
  </si>
  <si>
    <t>&lt;Your Organisation's Banner&gt;</t>
  </si>
  <si>
    <t>Ciphers</t>
  </si>
  <si>
    <t>MACs</t>
  </si>
  <si>
    <t>KexAlgorithms</t>
  </si>
  <si>
    <t>HostKeyAlgorithms</t>
  </si>
  <si>
    <t>enabled
This is not enabled by default.</t>
  </si>
  <si>
    <t>enable
This is enabled by default.</t>
  </si>
  <si>
    <t>Issuer</t>
  </si>
  <si>
    <t>NotBefore</t>
  </si>
  <si>
    <t>NotAfter</t>
  </si>
  <si>
    <t>Remote Authentication Type</t>
  </si>
  <si>
    <t>Fallback to Local</t>
  </si>
  <si>
    <t>RADIUS Server 1</t>
  </si>
  <si>
    <t>RADIUS Server 2</t>
  </si>
  <si>
    <t>Partition Access</t>
  </si>
  <si>
    <t>External User Role</t>
  </si>
  <si>
    <t>External User Terminal Access</t>
  </si>
  <si>
    <t>TACACS Authentication</t>
  </si>
  <si>
    <t>LDAP Authentication</t>
  </si>
  <si>
    <t>Etags</t>
  </si>
  <si>
    <t>DEVICE CERTIFICATE</t>
  </si>
  <si>
    <t>Not After</t>
  </si>
  <si>
    <t xml:space="preserve">prober-pool </t>
  </si>
  <si>
    <t xml:space="preserve">synchronization </t>
  </si>
  <si>
    <t xml:space="preserve">synchronization-group-name </t>
  </si>
  <si>
    <t>POOL MEMBER</t>
  </si>
  <si>
    <t>IP FORWARD PROFILE</t>
  </si>
  <si>
    <t>TCP PROFILE</t>
  </si>
  <si>
    <t>UDP PROFILE</t>
  </si>
  <si>
    <t>HTTP PROFILE</t>
  </si>
  <si>
    <t>ASM PROFILE</t>
  </si>
  <si>
    <t>POLICIES</t>
  </si>
  <si>
    <t>CLIENT SSL PROFILE</t>
  </si>
  <si>
    <t>SERVER SSL PROFILE</t>
  </si>
  <si>
    <t>SUBJECT</t>
  </si>
  <si>
    <t>MGMT IP/CIDR</t>
  </si>
  <si>
    <t>CIDR</t>
  </si>
  <si>
    <t>SELF IP ADDRESS/CIDR</t>
  </si>
  <si>
    <t>Enabled by default hence does not show in cli global-settings
Ensure it does not show audit disabled in cli global-settings</t>
  </si>
  <si>
    <t>KexAlgorithms diffie-hellman-group14-sha256</t>
  </si>
  <si>
    <t>LTM CONFIGURATION SUMMARY</t>
  </si>
  <si>
    <t>GTM CONFIGURATION SUMMARY</t>
  </si>
  <si>
    <t>No of Datacenter</t>
  </si>
  <si>
    <t>No of Prober Pool</t>
  </si>
  <si>
    <t>No of Server</t>
  </si>
  <si>
    <t>No of Topology</t>
  </si>
  <si>
    <t>No of Pool</t>
  </si>
  <si>
    <t>No of Wide IP</t>
  </si>
  <si>
    <t>UCS SETTING FORMATTED 
(ENABLE WRAP TEXT)</t>
  </si>
  <si>
    <t>DEVICE CONFIGURATION SUMMARY</t>
  </si>
  <si>
    <t xml:space="preserve">region  </t>
  </si>
  <si>
    <t>SUBNET (WRAP TEXT TO VIEW MULTILINE)</t>
  </si>
  <si>
    <t>SUBNET COUNT</t>
  </si>
  <si>
    <t>&lt;NTP IP 1&gt;
&lt;NTP IP 2&gt;</t>
  </si>
  <si>
    <t>auth remote-user { default-role no-access }</t>
  </si>
  <si>
    <t>RULES</t>
  </si>
  <si>
    <t>VA SCAN</t>
  </si>
  <si>
    <t>Managemnt Firewall Rules</t>
  </si>
  <si>
    <t>/Common/clientssl { context clientside }</t>
  </si>
  <si>
    <t>client-ssl</t>
  </si>
  <si>
    <t>/Common/clientssl-insecure-compatible { context clientside }</t>
  </si>
  <si>
    <t>/Common/clientssl-quic { context clientside }</t>
  </si>
  <si>
    <t>/Common/clientssl-secure { context clientside }</t>
  </si>
  <si>
    <t>/Common/crypto-server-default-clientssl { context clientside }</t>
  </si>
  <si>
    <t>/Common/splitsession-default-clientssl { context clientside }</t>
  </si>
  <si>
    <t>/Common/wom-default-clientssl { context clientside }</t>
  </si>
  <si>
    <t>/Common/apm-default-serverssl { context serverside }</t>
  </si>
  <si>
    <t>server-ssl</t>
  </si>
  <si>
    <t>/Common/cloud-service-default-ssl { context serverside }</t>
  </si>
  <si>
    <t>/Common/crypto-client-default-serverssl { context serverside }</t>
  </si>
  <si>
    <t>/Common/f5aas-default-ssl { context serverside }</t>
  </si>
  <si>
    <t>/Common/pcoip-default-serverssl { context serverside }</t>
  </si>
  <si>
    <t>/Common/serverssl { context serverside }</t>
  </si>
  <si>
    <t>/Common/serverssl-insecure-compatible { context serverside }</t>
  </si>
  <si>
    <t>/Common/serverssl-secure { context serverside }</t>
  </si>
  <si>
    <t>/Common/shape-api-ssl { context serverside }</t>
  </si>
  <si>
    <t>/Common/splitsession-default-serverssl { context serverside }</t>
  </si>
  <si>
    <t>/Common/wom-default-serverssl { context serverside }</t>
  </si>
  <si>
    <t>SAN without CHAR(10)</t>
  </si>
  <si>
    <t>CN &amp; SAN</t>
  </si>
  <si>
    <t>ltm profile certificate-authority certificateauthority {</t>
  </si>
  <si>
    <t>ltm profile client-ssl clientssl {</t>
  </si>
  <si>
    <t>ltm profile client-ssl clientssl-legacy {</t>
  </si>
  <si>
    <t>ltm profile client-ssl clientssl-insecure-compatible {</t>
  </si>
  <si>
    <t>ltm profile client-ssl wom-default-clientssl {</t>
  </si>
  <si>
    <t>ltm profile client-ssl crypto-server-default-clientssl {</t>
  </si>
  <si>
    <t>ltm profile client-ssl clientssl-secure {</t>
  </si>
  <si>
    <t>ltm profile client-ssl splitsession-default-clientssl {</t>
  </si>
  <si>
    <t>ltm profile client-ssl clientssl-quic {</t>
  </si>
  <si>
    <t>ltm profile client-ssl s3-default-clientssl {</t>
  </si>
  <si>
    <t>ltm profile server-ssl splitsession-default-serverssl {</t>
  </si>
  <si>
    <t>ltm profile server-ssl cloud-service-default-ssl {</t>
  </si>
  <si>
    <t>ltm profile server-ssl f5aas-default-ssl {</t>
  </si>
  <si>
    <t>ltm profile server-ssl shape-api-ssl {</t>
  </si>
  <si>
    <t>ltm profile dns dns {</t>
  </si>
  <si>
    <t>ltm profile dns-acceleration dns-acceleration {</t>
  </si>
  <si>
    <t>ltm profile doh-server doh-server {</t>
  </si>
  <si>
    <t>ltm profile doh-proxy doh-proxy {</t>
  </si>
  <si>
    <t>ltm profile diameter diameter {</t>
  </si>
  <si>
    <t>ltm profile request-adapt requestadapt {</t>
  </si>
  <si>
    <t>ltm profile response-adapt responseadapt {</t>
  </si>
  <si>
    <t>ltm profile icap icap {</t>
  </si>
  <si>
    <t>ltm profile connector connector {</t>
  </si>
  <si>
    <t>ltm profile service service {</t>
  </si>
  <si>
    <t>ltm profile ocsp ocsp {</t>
  </si>
  <si>
    <t>ltm profile qoe qoe {</t>
  </si>
  <si>
    <t>ltm profile traffic-acceleration traffic-acceleration {</t>
  </si>
  <si>
    <t>ltm profile gtp gtp {</t>
  </si>
  <si>
    <t>ltm profile fix fix {</t>
  </si>
  <si>
    <t>ltm profile mr-ratelimit mr-ratelimit {</t>
  </si>
  <si>
    <t>ltm profile georedundancy georedundancy {</t>
  </si>
  <si>
    <t>ltm profile fasthttp fasthttp {</t>
  </si>
  <si>
    <t>ltm profile fastl4 fastL4 {</t>
  </si>
  <si>
    <t>ltm profile fastl4 security-fastL4 {</t>
  </si>
  <si>
    <t>ltm profile netflow netflow {}</t>
  </si>
  <si>
    <t>ltm profile fastl4 full-acceleration {</t>
  </si>
  <si>
    <t>ltm profile ftp ftp {}</t>
  </si>
  <si>
    <t>ltm profile tftp tftp {}</t>
  </si>
  <si>
    <t>ltm profile ipsecalg ipsecalg {</t>
  </si>
  <si>
    <t>ltm profile html html {</t>
  </si>
  <si>
    <t>ltm profile http http {</t>
  </si>
  <si>
    <t>ltm profile http http-transparent {</t>
  </si>
  <si>
    <t>ltm profile http http-explicit {</t>
  </si>
  <si>
    <t>ltm profile httprouter httprouter {</t>
  </si>
  <si>
    <t>ltm profile http2 http2 {</t>
  </si>
  <si>
    <t>ltm profile http3 http3 {</t>
  </si>
  <si>
    <t>ltm profile quic quic {</t>
  </si>
  <si>
    <t>ltm profile websocket websocket {</t>
  </si>
  <si>
    <t>ltm profile splitsessionclient splitsessionclient {</t>
  </si>
  <si>
    <t>ltm profile splitsessionserver splitsessionserver {</t>
  </si>
  <si>
    <t>ltm profile http-proxy-connect http-proxy-connect {</t>
  </si>
  <si>
    <t>ltm profile pop3 pop3 {</t>
  </si>
  <si>
    <t>ltm profile aimcp aimcp {</t>
  </si>
  <si>
    <t>ltm profile imap imap {</t>
  </si>
  <si>
    <t>ltm profile smtps smtps {</t>
  </si>
  <si>
    <t>ltm profile client-ldap clientldap {</t>
  </si>
  <si>
    <t>ltm profile server-ldap serverldap {</t>
  </si>
  <si>
    <t>ltm profile mqtt mqtt {</t>
  </si>
  <si>
    <t>ltm profile http-compression httpcompression {</t>
  </si>
  <si>
    <t>ltm profile http-compression wan-optimized-compression {</t>
  </si>
  <si>
    <t>ltm profile one-connect oneconnect {</t>
  </si>
  <si>
    <t>ltm profile pptp pptp {</t>
  </si>
  <si>
    <t>ltm profile radius radiusLB {</t>
  </si>
  <si>
    <t>ltm profile radius radiusLB-subscriber-aware {</t>
  </si>
  <si>
    <t>ltm profile request-log request-log {</t>
  </si>
  <si>
    <t>ltm profile rewrite rewrite {</t>
  </si>
  <si>
    <t>ltm profile ilx ilx {</t>
  </si>
  <si>
    <t>ltm profile rewrite rewrite-portal {</t>
  </si>
  <si>
    <t>ltm profile rewrite rewrite-uri-translation {</t>
  </si>
  <si>
    <t>ltm profile rtsp rtsp {</t>
  </si>
  <si>
    <t>ltm profile server-ssl serverssl {</t>
  </si>
  <si>
    <t>ltm profile server-ssl serverssl-legacy {</t>
  </si>
  <si>
    <t>ltm profile server-ssl apm-default-serverssl {</t>
  </si>
  <si>
    <t>ltm profile server-ssl serverssl-insecure-compatible {</t>
  </si>
  <si>
    <t>ltm profile server-ssl wom-default-serverssl {</t>
  </si>
  <si>
    <t>ltm profile server-ssl crypto-client-default-serverssl {</t>
  </si>
  <si>
    <t>ltm profile server-ssl /Common/serverssl-secure {</t>
  </si>
  <si>
    <t>ltm profile server-ssl pcoip-default-serverssl {</t>
  </si>
  <si>
    <t>ltm profile sctp sctp {</t>
  </si>
  <si>
    <t>ltm profile analytics analytics {</t>
  </si>
  <si>
    <t>ltm profile tcp-analytics tcp-analytics {</t>
  </si>
  <si>
    <t>ltm profile classification classification {</t>
  </si>
  <si>
    <t>ltm profile classification classification_pem {</t>
  </si>
  <si>
    <t>ltm profile classification classification_apm_swg {</t>
  </si>
  <si>
    <t>ltm profile sip sip {</t>
  </si>
  <si>
    <t>ltm profile statistics stats {</t>
  </si>
  <si>
    <t>ltm profile stream stream {</t>
  </si>
  <si>
    <t>ltm profile pcp pcp {</t>
  </si>
  <si>
    <t>ltm profile nat-stats nat-stats {</t>
  </si>
  <si>
    <t>ltm profile tcp f5-tcp-progressive {</t>
  </si>
  <si>
    <t>ltm profile tcp f5-tcp-wan {</t>
  </si>
  <si>
    <t>ltm profile tcp f5-tcp-lan {</t>
  </si>
  <si>
    <t>ltm profile tcp f5-tcp-mobile {</t>
  </si>
  <si>
    <t>ltm profile tcp tcp {</t>
  </si>
  <si>
    <t>ltm profile tcp tcp-legacy {</t>
  </si>
  <si>
    <t>ltm profile tcp mptcp-mobile-optimized {</t>
  </si>
  <si>
    <t>ltm profile tcp tcp-mobile-optimized {</t>
  </si>
  <si>
    <t>ltm profile tcp tcp-lan-optimized {</t>
  </si>
  <si>
    <t>ltm profile tcp tcp-wan-optimized {</t>
  </si>
  <si>
    <t>ltm profile tcp wom-tcp-lan-optimized {</t>
  </si>
  <si>
    <t>ltm profile tcp wom-tcp-wan-optimized {</t>
  </si>
  <si>
    <t>ltm profile tcp splitsession-default-tcp {</t>
  </si>
  <si>
    <t>ltm profile tcp s3-tcp {</t>
  </si>
  <si>
    <t>ltm profile dhcpv4 dhcpv4 {</t>
  </si>
  <si>
    <t>ltm profile dhcpv4 dhcpv4_fwd {</t>
  </si>
  <si>
    <t>ltm profile dhcpv6 dhcpv6 {</t>
  </si>
  <si>
    <t>ltm profile dhcpv6 dhcpv6_fwd {</t>
  </si>
  <si>
    <t>ltm profile udp udp {</t>
  </si>
  <si>
    <t>ltm profile udp udp_preserve_ttl {</t>
  </si>
  <si>
    <t>ltm profile udp udp_decrement_ttl {</t>
  </si>
  <si>
    <t>ltm profile udp udp_gtm_dns {</t>
  </si>
  <si>
    <t>ltm profile ipother ipother {</t>
  </si>
  <si>
    <t>ltm profile map-t mapt {</t>
  </si>
  <si>
    <t>ltm profile socks socks {</t>
  </si>
  <si>
    <t>ltm profile web-acceleration optimized-acceleration {</t>
  </si>
  <si>
    <t>ltm profile web-acceleration optimized-caching {</t>
  </si>
  <si>
    <t>ltm profile web-acceleration webacceleration {</t>
  </si>
  <si>
    <t>ltm profile web-security websecurity { }</t>
  </si>
  <si>
    <t>ltm profile xml xml {}</t>
  </si>
  <si>
    <t>ltm profile web-acceleration apm-enduser-if-cache {</t>
  </si>
  <si>
    <t>ltm profile tcp apm-forwarding-client-tcp {</t>
  </si>
  <si>
    <t>ltm profile tcp apm-forwarding-server-tcp {</t>
  </si>
  <si>
    <t>ltm profile fastl4 apm-forwarding-fastL4 {</t>
  </si>
  <si>
    <t>ltm profile service /Common/access-logonpage-protection-service {</t>
  </si>
  <si>
    <t>ltm profile connector /Common/access-logonpage-protection-connector {</t>
  </si>
  <si>
    <t>ltm profile tdr tdr {</t>
  </si>
  <si>
    <t>ltm profile tdr tdr-diameter {</t>
  </si>
  <si>
    <t>ltm profile tdr tdr-http {</t>
  </si>
  <si>
    <t>ltm profile tdr tdr-sip {</t>
  </si>
  <si>
    <t>ltm profile sse sse {</t>
  </si>
  <si>
    <t>ltm profile json json {</t>
  </si>
  <si>
    <t>LAST MODIFIED TIME</t>
  </si>
  <si>
    <t>ITEMS</t>
  </si>
  <si>
    <t>No of Device</t>
  </si>
  <si>
    <t>NETWORK CONFIGURATION SUMMARY</t>
  </si>
  <si>
    <t>No of Route</t>
  </si>
  <si>
    <t>No of Mgmt Route</t>
  </si>
  <si>
    <t>No of Certs</t>
  </si>
  <si>
    <t>No of Keys</t>
  </si>
  <si>
    <t>No of ClientSSL Profiles</t>
  </si>
  <si>
    <t>No of SNAT Pools</t>
  </si>
  <si>
    <t>No of Virtual Servers using automap</t>
  </si>
  <si>
    <t>No of Virtual Servers using SNAT pool</t>
  </si>
  <si>
    <t xml:space="preserve">{ address </t>
  </si>
  <si>
    <t xml:space="preserve">arp </t>
  </si>
  <si>
    <t xml:space="preserve">icmp-echo </t>
  </si>
  <si>
    <t xml:space="preserve">mask </t>
  </si>
  <si>
    <t xml:space="preserve">traffic-group </t>
  </si>
  <si>
    <t xml:space="preserve">route-advertisement </t>
  </si>
  <si>
    <t>POLICY NAME WITH ASM PREFIX</t>
  </si>
  <si>
    <t>ASM POLICY NAME</t>
  </si>
  <si>
    <t>POLICY ID</t>
  </si>
  <si>
    <t>POLICY TEMPLATE</t>
  </si>
  <si>
    <t>LAST MODIFIED BY</t>
  </si>
  <si>
    <t>LANGUAGE</t>
  </si>
  <si>
    <t>POLICY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</si>
</sst>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entury Gothic"/>
      <family val="2"/>
    </font>
    <font>
      <sz val="8"/>
      <color theme="1"/>
      <name val="Calibri"/>
      <family val="2"/>
      <scheme val="minor"/>
    </font>
    <font>
      <b/>
      <sz val="8"/>
      <color theme="1"/>
      <name val="Calibri"/>
      <family val="2"/>
      <scheme val="minor"/>
    </font>
    <font>
      <sz val="8"/>
      <name val="Calibri"/>
      <family val="2"/>
      <scheme val="minor"/>
    </font>
    <font>
      <b/>
      <sz val="8"/>
      <color theme="0"/>
      <name val="Calibri"/>
      <family val="2"/>
      <scheme val="minor"/>
    </font>
    <font>
      <sz val="8"/>
      <color rgb="FF000000"/>
      <name val="Calibri"/>
      <family val="2"/>
    </font>
    <font>
      <u/>
      <sz val="11"/>
      <color theme="10"/>
      <name val="Calibri"/>
      <family val="2"/>
      <scheme val="minor"/>
    </font>
    <font>
      <sz val="11"/>
      <color theme="1"/>
      <name val="Calibri"/>
      <family val="2"/>
      <scheme val="minor"/>
    </font>
    <font>
      <sz val="11"/>
      <color theme="0"/>
      <name val="Calibri"/>
      <family val="2"/>
      <scheme val="minor"/>
    </font>
    <font>
      <sz val="11"/>
      <color theme="0"/>
      <name val="Century Gothic"/>
      <family val="2"/>
    </font>
    <font>
      <sz val="8"/>
      <color theme="1"/>
      <name val="Century Gothic"/>
      <family val="2"/>
    </font>
    <font>
      <b/>
      <sz val="8"/>
      <color theme="1"/>
      <name val="Century Gothic"/>
      <family val="2"/>
    </font>
    <font>
      <sz val="14"/>
      <color theme="1"/>
      <name val="Century Gothic"/>
      <family val="2"/>
    </font>
    <font>
      <b/>
      <sz val="11"/>
      <color theme="1"/>
      <name val="Century Gothic"/>
      <family val="2"/>
    </font>
    <font>
      <u/>
      <sz val="11"/>
      <color theme="10"/>
      <name val="Century Gothic"/>
      <family val="2"/>
    </font>
  </fonts>
  <fills count="6">
    <fill>
      <patternFill patternType="none"/>
    </fill>
    <fill>
      <patternFill patternType="gray125"/>
    </fill>
    <fill>
      <patternFill patternType="solid">
        <fgColor theme="4"/>
        <bgColor theme="4"/>
      </patternFill>
    </fill>
    <fill>
      <patternFill patternType="solid">
        <fgColor theme="4"/>
      </patternFill>
    </fill>
    <fill>
      <patternFill patternType="solid">
        <fgColor theme="4" tint="0.39997558519241921"/>
        <bgColor indexed="65"/>
      </patternFill>
    </fill>
    <fill>
      <patternFill patternType="solid">
        <fgColor theme="4" tint="0.79998168889431442"/>
        <bgColor indexed="65"/>
      </patternFill>
    </fill>
  </fills>
  <borders count="12">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s>
  <cellStyleXfs count="5">
    <xf numFmtId="0" fontId="0" fillId="0" borderId="0"/>
    <xf numFmtId="0" fontId="7" fillId="0" borderId="0" applyNumberFormat="0" applyFill="0" applyBorder="0" applyAlignment="0" applyProtection="0"/>
    <xf numFmtId="0" fontId="9"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cellStyleXfs>
  <cellXfs count="39">
    <xf numFmtId="0" fontId="0" fillId="0" borderId="0" xfId="0"/>
    <xf numFmtId="0" fontId="2" fillId="0" borderId="0" xfId="0" applyFont="1"/>
    <xf numFmtId="0" fontId="3" fillId="0" borderId="0" xfId="0" applyFont="1"/>
    <xf numFmtId="0" fontId="3" fillId="0" borderId="0" xfId="0" applyFont="1" applyAlignment="1">
      <alignment vertical="top"/>
    </xf>
    <xf numFmtId="0" fontId="2" fillId="0" borderId="0" xfId="0" applyFont="1" applyAlignment="1">
      <alignment vertical="top"/>
    </xf>
    <xf numFmtId="0" fontId="6" fillId="0" borderId="0" xfId="0" applyFont="1"/>
    <xf numFmtId="0" fontId="5" fillId="2" borderId="1" xfId="0" applyFont="1" applyFill="1" applyBorder="1" applyAlignment="1">
      <alignment vertical="top"/>
    </xf>
    <xf numFmtId="0" fontId="5" fillId="2" borderId="2" xfId="0" applyFont="1" applyFill="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3" fillId="0" borderId="0" xfId="0" applyFont="1" applyAlignment="1">
      <alignment wrapText="1"/>
    </xf>
    <xf numFmtId="0" fontId="5" fillId="0" borderId="0" xfId="0" applyFont="1"/>
    <xf numFmtId="14" fontId="2" fillId="0" borderId="0" xfId="0" applyNumberFormat="1" applyFont="1"/>
    <xf numFmtId="0" fontId="11" fillId="0" borderId="0" xfId="0" applyFont="1" applyAlignment="1">
      <alignment vertical="top" wrapText="1"/>
    </xf>
    <xf numFmtId="0" fontId="12" fillId="0" borderId="0" xfId="0" applyFont="1" applyAlignment="1">
      <alignment vertical="top" wrapText="1"/>
    </xf>
    <xf numFmtId="0" fontId="11" fillId="0" borderId="0" xfId="0" applyFont="1" applyAlignment="1">
      <alignment horizontal="left" vertical="top" wrapText="1"/>
    </xf>
    <xf numFmtId="0" fontId="14" fillId="0" borderId="3" xfId="0" applyFont="1" applyBorder="1" applyAlignment="1">
      <alignment vertical="top" wrapText="1"/>
    </xf>
    <xf numFmtId="0" fontId="14" fillId="0" borderId="3" xfId="0" applyFont="1" applyBorder="1" applyAlignment="1">
      <alignment horizontal="left" vertical="top" wrapText="1"/>
    </xf>
    <xf numFmtId="0" fontId="13" fillId="4" borderId="4" xfId="3" applyFont="1" applyBorder="1" applyAlignment="1">
      <alignment vertical="top"/>
    </xf>
    <xf numFmtId="0" fontId="15" fillId="0" borderId="5" xfId="1" applyFont="1" applyBorder="1" applyAlignment="1">
      <alignment vertical="top" wrapText="1"/>
    </xf>
    <xf numFmtId="0" fontId="10" fillId="3" borderId="6" xfId="2" applyFont="1" applyBorder="1" applyAlignment="1">
      <alignment wrapText="1"/>
    </xf>
    <xf numFmtId="0" fontId="10" fillId="3" borderId="7" xfId="2" applyFont="1" applyBorder="1" applyAlignment="1">
      <alignment horizontal="left" wrapText="1"/>
    </xf>
    <xf numFmtId="0" fontId="10" fillId="3" borderId="7" xfId="2" applyFont="1" applyBorder="1" applyAlignment="1">
      <alignment wrapText="1"/>
    </xf>
    <xf numFmtId="0" fontId="10" fillId="3" borderId="8" xfId="2" applyFont="1" applyBorder="1" applyAlignment="1">
      <alignment wrapText="1"/>
    </xf>
    <xf numFmtId="0" fontId="1" fillId="0" borderId="3" xfId="0" applyFont="1" applyBorder="1" applyAlignment="1">
      <alignment horizontal="left" vertical="top" wrapText="1"/>
    </xf>
    <xf numFmtId="0" fontId="1" fillId="0" borderId="3" xfId="0" applyFont="1" applyBorder="1" applyAlignment="1">
      <alignment vertical="top" wrapText="1"/>
    </xf>
    <xf numFmtId="0" fontId="1" fillId="4" borderId="3" xfId="3" applyFont="1" applyBorder="1" applyAlignment="1">
      <alignment horizontal="left" vertical="top" wrapText="1"/>
    </xf>
    <xf numFmtId="0" fontId="1" fillId="4" borderId="3" xfId="3" applyFont="1" applyBorder="1" applyAlignment="1">
      <alignment vertical="top" wrapText="1"/>
    </xf>
    <xf numFmtId="0" fontId="1" fillId="4" borderId="5" xfId="3" applyFont="1" applyBorder="1" applyAlignment="1">
      <alignment vertical="top" wrapText="1"/>
    </xf>
    <xf numFmtId="0" fontId="1" fillId="0" borderId="3" xfId="0" applyFont="1" applyBorder="1" applyAlignment="1">
      <alignment horizontal="left" vertical="top"/>
    </xf>
    <xf numFmtId="0" fontId="1" fillId="5" borderId="4" xfId="4" applyFont="1" applyBorder="1" applyAlignment="1">
      <alignment horizontal="left" vertical="top" wrapText="1" indent="1"/>
    </xf>
    <xf numFmtId="0" fontId="1" fillId="0" borderId="0" xfId="0" applyFont="1" applyAlignment="1">
      <alignment vertical="top" wrapText="1"/>
    </xf>
    <xf numFmtId="14" fontId="1" fillId="0" borderId="3" xfId="0" applyNumberFormat="1" applyFont="1" applyBorder="1" applyAlignment="1">
      <alignment horizontal="left" vertical="top" wrapText="1"/>
    </xf>
    <xf numFmtId="0" fontId="1" fillId="0" borderId="5" xfId="0" applyFont="1" applyBorder="1" applyAlignment="1">
      <alignment vertical="top" wrapText="1"/>
    </xf>
    <xf numFmtId="0" fontId="1" fillId="5" borderId="9" xfId="4" applyFont="1" applyBorder="1" applyAlignment="1">
      <alignment horizontal="left" vertical="top" wrapText="1" indent="1"/>
    </xf>
    <xf numFmtId="0" fontId="1" fillId="0" borderId="10" xfId="0" applyFont="1" applyBorder="1" applyAlignment="1">
      <alignment horizontal="left" vertical="top" wrapText="1"/>
    </xf>
    <xf numFmtId="0" fontId="1" fillId="0" borderId="10" xfId="0" applyFont="1" applyBorder="1" applyAlignment="1">
      <alignment vertical="top" wrapText="1"/>
    </xf>
    <xf numFmtId="0" fontId="1" fillId="0" borderId="11" xfId="0" applyFont="1" applyBorder="1" applyAlignment="1">
      <alignment vertical="top" wrapText="1"/>
    </xf>
    <xf numFmtId="0" fontId="2" fillId="0" borderId="0" xfId="0" applyNumberFormat="1" applyFont="1"/>
  </cellXfs>
  <cellStyles count="5">
    <cellStyle name="20% - Accent1" xfId="4" builtinId="30"/>
    <cellStyle name="60% - Accent1" xfId="3" builtinId="32"/>
    <cellStyle name="Accent1" xfId="2" builtinId="29"/>
    <cellStyle name="Hyperlink" xfId="1" builtinId="8"/>
    <cellStyle name="Normal" xfId="0" builtinId="0"/>
  </cellStyles>
  <dxfs count="517">
    <dxf>
      <font>
        <b val="0"/>
        <i val="0"/>
        <strike val="0"/>
        <condense val="0"/>
        <extend val="0"/>
        <outline val="0"/>
        <shadow val="0"/>
        <u val="none"/>
        <vertAlign val="baseline"/>
        <sz val="8"/>
        <color theme="1"/>
        <name val="Calibri"/>
        <family val="2"/>
        <scheme val="minor"/>
      </font>
      <numFmt numFmtId="0" formatCode="Genera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rgb="FF000000"/>
        <name val="Calibri"/>
        <family val="2"/>
        <scheme val="none"/>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rgb="FF000000"/>
        <name val="Calibri"/>
        <family val="2"/>
        <scheme val="none"/>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rgb="FF000000"/>
        <name val="Calibri"/>
        <family val="2"/>
        <scheme val="none"/>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8"/>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8"/>
        <color theme="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8"/>
        <color theme="1"/>
        <name val="Calibri"/>
        <family val="2"/>
        <scheme val="minor"/>
      </font>
      <fill>
        <patternFill patternType="none">
          <fgColor indexed="64"/>
          <bgColor auto="1"/>
        </patternFill>
      </fill>
    </dxf>
    <dxf>
      <fill>
        <patternFill patternType="none">
          <fgColor rgb="FF000000"/>
          <bgColor auto="1"/>
        </patternFill>
      </fill>
    </dxf>
    <dxf>
      <font>
        <b/>
        <i val="0"/>
        <strike val="0"/>
        <condense val="0"/>
        <extend val="0"/>
        <outline val="0"/>
        <shadow val="0"/>
        <u val="none"/>
        <vertAlign val="baseline"/>
        <sz val="8"/>
        <color theme="0"/>
        <name val="Calibri"/>
        <family val="2"/>
        <scheme val="minor"/>
      </font>
      <fill>
        <patternFill patternType="none">
          <fgColor indexed="64"/>
          <bgColor auto="1"/>
        </patternFill>
      </fill>
      <border diagonalUp="0" diagonalDown="0" outline="0">
        <left style="thin">
          <color theme="0"/>
        </left>
        <right style="thin">
          <color theme="0"/>
        </right>
        <top/>
        <bottom/>
      </border>
    </dxf>
    <dxf>
      <font>
        <b val="0"/>
        <i val="0"/>
        <strike val="0"/>
        <condense val="0"/>
        <extend val="0"/>
        <outline val="0"/>
        <shadow val="0"/>
        <u val="none"/>
        <vertAlign val="baseline"/>
        <sz val="8"/>
        <color theme="1"/>
        <name val="Calibri"/>
        <family val="2"/>
        <scheme val="minor"/>
      </font>
      <fill>
        <patternFill patternType="none">
          <fgColor indexed="64"/>
          <bgColor auto="1"/>
        </patternFill>
      </fill>
    </dxf>
    <dxf>
      <font>
        <b val="0"/>
        <i val="0"/>
        <strike val="0"/>
        <condense val="0"/>
        <extend val="0"/>
        <outline val="0"/>
        <shadow val="0"/>
        <u val="none"/>
        <vertAlign val="baseline"/>
        <sz val="8"/>
        <color theme="1"/>
        <name val="Calibri"/>
        <family val="2"/>
        <scheme val="minor"/>
      </font>
      <fill>
        <patternFill patternType="none">
          <fgColor indexed="64"/>
          <bgColor auto="1"/>
        </patternFill>
      </fill>
    </dxf>
    <dxf>
      <font>
        <b val="0"/>
        <i val="0"/>
        <strike val="0"/>
        <condense val="0"/>
        <extend val="0"/>
        <outline val="0"/>
        <shadow val="0"/>
        <u val="none"/>
        <vertAlign val="baseline"/>
        <sz val="8"/>
        <color theme="1"/>
        <name val="Calibri"/>
        <family val="2"/>
        <scheme val="minor"/>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8"/>
        <color theme="0"/>
        <name val="Calibri"/>
        <family val="2"/>
        <scheme val="minor"/>
      </font>
      <fill>
        <patternFill patternType="none">
          <fgColor indexed="64"/>
          <bgColor auto="1"/>
        </patternFill>
      </fill>
      <border diagonalUp="0" diagonalDown="0" outline="0">
        <left style="thin">
          <color theme="0"/>
        </left>
        <right style="thin">
          <color theme="0"/>
        </right>
        <top/>
        <bottom/>
      </border>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numFmt numFmtId="19" formatCode="d/m/yyyy"/>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numFmt numFmtId="0" formatCode="General"/>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theme="1"/>
        <name val="Calibri"/>
        <family val="2"/>
        <scheme val="minor"/>
      </font>
    </dxf>
    <dxf>
      <font>
        <b val="0"/>
        <i val="0"/>
        <strike val="0"/>
        <condense val="0"/>
        <extend val="0"/>
        <outline val="0"/>
        <shadow val="0"/>
        <u/>
        <vertAlign val="baseline"/>
        <sz val="11"/>
        <color theme="10"/>
        <name val="Century Gothic"/>
        <family val="2"/>
        <scheme val="none"/>
      </font>
      <alignment horizontal="general" vertical="top" textRotation="0" wrapText="1" indent="0" justifyLastLine="0" shrinkToFit="0" readingOrder="0"/>
      <border diagonalUp="0" diagonalDown="0" outline="0">
        <left style="thin">
          <color theme="0" tint="-0.249977111117893"/>
        </left>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left"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left" vertical="top"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strike val="0"/>
        <outline val="0"/>
        <shadow val="0"/>
        <vertAlign val="baseline"/>
        <name val="Century Gothic"/>
        <family val="2"/>
        <scheme val="none"/>
      </font>
      <alignment horizontal="left" vertical="top" textRotation="0" wrapText="1" indent="1" justifyLastLine="0" shrinkToFit="0" readingOrder="0"/>
      <border diagonalUp="0" diagonalDown="0" outline="0">
        <left/>
        <right style="thin">
          <color theme="0" tint="-0.249977111117893"/>
        </right>
        <top style="thin">
          <color theme="0" tint="-0.249977111117893"/>
        </top>
        <bottom style="thin">
          <color theme="0" tint="-0.249977111117893"/>
        </bottom>
      </border>
    </dxf>
    <dxf>
      <border outline="0">
        <top style="thin">
          <color theme="0" tint="-0.249977111117893"/>
        </top>
      </border>
    </dxf>
    <dxf>
      <border outline="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theme="1"/>
        <name val="Century Gothic"/>
        <family val="2"/>
        <scheme val="none"/>
      </font>
      <alignment horizontal="general" vertical="top" textRotation="0" wrapText="1" indent="0" justifyLastLine="0" shrinkToFit="0" readingOrder="0"/>
    </dxf>
    <dxf>
      <border outline="0">
        <bottom style="thin">
          <color theme="0" tint="-0.249977111117893"/>
        </bottom>
      </border>
    </dxf>
    <dxf>
      <font>
        <b val="0"/>
        <i val="0"/>
        <strike val="0"/>
        <condense val="0"/>
        <extend val="0"/>
        <outline val="0"/>
        <shadow val="0"/>
        <u val="none"/>
        <vertAlign val="baseline"/>
        <sz val="11"/>
        <color theme="0"/>
        <name val="Century Gothic"/>
        <family val="2"/>
        <scheme val="none"/>
      </font>
      <alignment horizontal="general" vertical="bottom" textRotation="0" wrapText="1" indent="0" justifyLastLine="0" shrinkToFit="0" readingOrder="0"/>
      <border diagonalUp="0" diagonalDown="0" outline="0">
        <left style="thin">
          <color theme="0" tint="-0.249977111117893"/>
        </left>
        <right style="thin">
          <color theme="0" tint="-0.249977111117893"/>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72A9CF3-AA1C-4E7E-B59C-4FE11A37CC19}" name="Table55" displayName="Table55" ref="A1:J82" totalsRowShown="0" headerRowDxfId="516" dataDxfId="514" headerRowBorderDxfId="515" tableBorderDxfId="513" totalsRowBorderDxfId="512" headerRowCellStyle="Accent1">
  <tableColumns count="10">
    <tableColumn id="1" xr3:uid="{9B5A9722-3C6D-4B46-BA29-9A2678C51F7D}" name="ITEMS" dataDxfId="511" dataCellStyle="20% - Accent1"/>
    <tableColumn id="2" xr3:uid="{E636C05F-2898-48D7-AA82-36EE8FCAF36E}" name="UCS SETTING" dataDxfId="510"/>
    <tableColumn id="3" xr3:uid="{E0EA24DD-85BB-4D96-A4FF-ACAC0FE25C50}" name="UCS SETTING FORMATTED _x000a_(ENABLE WRAP TEXT)" dataDxfId="509"/>
    <tableColumn id="4" xr3:uid="{A84679EB-4672-400A-AEFE-4F300D7E49BD}" name="CIS SETTING" dataDxfId="508"/>
    <tableColumn id="5" xr3:uid="{F999F63A-BD02-4C94-ACFC-C43A510C96CD}" name="COMPLIANT/_x000a_NON-COMPLIANT/_x000a_DEVIATE" dataDxfId="507"/>
    <tableColumn id="6" xr3:uid="{0B4D4C27-2335-47F1-A6B6-EBDA0B9EBD26}" name="CIS RECOMMENDATION" dataDxfId="506"/>
    <tableColumn id="7" xr3:uid="{63ADB8F0-E1C9-4EEE-BE62-533C9DD9D305}" name="CIS DESCRIPTION" dataDxfId="505"/>
    <tableColumn id="8" xr3:uid="{410F2570-6E16-4005-B593-6A04083120F4}" name="CIS RATIONALE" dataDxfId="504"/>
    <tableColumn id="9" xr3:uid="{4256F10C-7FF1-4C60-B845-0A62D0DDC70B}" name="CIS IMPACT" dataDxfId="503"/>
    <tableColumn id="10" xr3:uid="{43EA1D5D-33E1-4B8B-BFDD-53BC55B42CFF}" name="CIS REFERENCE" dataDxfId="502"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CA234C5E-5416-499F-89A6-F61633DDA3F0}" name="CMDevice" displayName="CMDevice" ref="A1:R2" totalsRowShown="0" headerRowDxfId="501" dataDxfId="500">
  <tableColumns count="18">
    <tableColumn id="1" xr3:uid="{5F38B9E3-ECB2-4917-B00E-6680DE6D6E8B}" name="PASTE ONE LINE CONFIG HERE" dataDxfId="499"/>
    <tableColumn id="2" xr3:uid="{31A849D1-B5EA-4E5D-AF76-6F5167E85781}" name="Replace last } with &quot; }&quot;" dataDxfId="498">
      <calculatedColumnFormula>LEFT(A2,LEN(A2)-1)&amp;" }"</calculatedColumnFormula>
    </tableColumn>
    <tableColumn id="3" xr3:uid="{722AAF83-2B6B-42E8-960C-DE1EA59055FC}" name="cm device " dataDxfId="497">
      <calculatedColumnFormula>MID($B2,FIND(C$1,$B2)+LEN(C$1),FIND(" ",$B2,FIND(C$1,$B2)+LEN(C$1))-FIND(C$1,$B2)-LEN(C$1))</calculatedColumnFormula>
    </tableColumn>
    <tableColumn id="4" xr3:uid="{56014A93-8C7D-4DC1-BEDC-9B91AC0F87A1}" name="active-modules { &quot;" dataDxfId="496">
      <calculatedColumnFormula>MID($B2,FIND(D$1,$B2)+LEN(D$1),FIND(CHAR(34),$B2,FIND(D$1,$B2)+LEN(D$1))-FIND(D$1,$B2)-LEN(D$1))</calculatedColumnFormula>
    </tableColumn>
    <tableColumn id="5" xr3:uid="{27E74CBC-87E7-40C4-9D90-614F43D53BBB}" name="base-mac " dataDxfId="495">
      <calculatedColumnFormula>MID($B2,FIND(E$1,$B2)+LEN(E$1),FIND(" ",$B2,FIND(E$1,$B2)+LEN(E$1))-FIND(E$1,$B2)-LEN(E$1))</calculatedColumnFormula>
    </tableColumn>
    <tableColumn id="8" xr3:uid="{46607958-728F-4218-9C74-67190F52CD28}" name="build " dataDxfId="494">
      <calculatedColumnFormula>MID($B2,FIND(F$1,$B2)+LEN(F$1),FIND(" ",$B2,FIND(F$1,$B2)+LEN(F$1))-FIND(F$1,$B2)-LEN(F$1))</calculatedColumnFormula>
    </tableColumn>
    <tableColumn id="6" xr3:uid="{3FC565CF-BFB3-448E-94F9-A547D4561396}" name=" chassis-id " dataDxfId="493">
      <calculatedColumnFormula>SUBSTITUTE(MID($B2,FIND(G$1,$B2)+LEN(G$1),FIND(" ",$B2,FIND(G$1,$B2)+LEN(G$1))-FIND(G$1,$B2)-LEN(G$1)),CHAR(34),"")</calculatedColumnFormula>
    </tableColumn>
    <tableColumn id="7" xr3:uid="{892F8DED-E524-4955-A82D-803B59166F6E}" name="chassis-type " dataDxfId="492">
      <calculatedColumnFormula>MID($B2,FIND(H$1,$B2)+LEN(H$1),FIND(" ",$B2,FIND(H$1,$B2)+LEN(H$1))-FIND(H$1,$B2)-LEN(H$1))</calculatedColumnFormula>
    </tableColumn>
    <tableColumn id="13" xr3:uid="{4D5E0F24-2A4B-4B6B-9F29-97F5FC77EFBE}" name="configsync-ip " dataDxfId="491">
      <calculatedColumnFormula>MID($B2,FIND(I$1,$B2)+LEN(I$1),FIND(" ",$B2,FIND(I$1,$B2)+LEN(I$1))-FIND(I$1,$B2)-LEN(I$1))</calculatedColumnFormula>
    </tableColumn>
    <tableColumn id="12" xr3:uid="{E7BC2ED2-DB77-4E9B-A6CC-B2A68CAC910D}" name="hostname " dataDxfId="490">
      <calculatedColumnFormula>MID($B2,FIND(J$1,$B2)+LEN(J$1),FIND(" ",$B2,FIND(J$1,$B2)+LEN(J$1))-FIND(J$1,$B2)-LEN(J$1))</calculatedColumnFormula>
    </tableColumn>
    <tableColumn id="11" xr3:uid="{C5A0D289-5125-4149-8E31-7B3919703C30}" name="management-ip " dataDxfId="489">
      <calculatedColumnFormula>MID($B2,FIND(K$1,$B2)+LEN(K$1),FIND(" ",$B2,FIND(K$1,$B2)+LEN(K$1))-FIND(K$1,$B2)-LEN(K$1))</calculatedColumnFormula>
    </tableColumn>
    <tableColumn id="10" xr3:uid="{D500C0CF-7F3B-43D9-AEDC-76D0076B67CB}" name="marketing-name &quot;" dataDxfId="488">
      <calculatedColumnFormula>MID($B2,FIND(L$1,$B2)+LEN(L$1),FIND(CHAR(34),$B2,FIND(L$1,$B2)+LEN(L$1))-FIND(L$1,$B2)-LEN(L$1))</calculatedColumnFormula>
    </tableColumn>
    <tableColumn id="9" xr3:uid="{07D7CFC8-4B80-44F9-99E3-8AEAC7318515}" name="mirror-ip " dataDxfId="487">
      <calculatedColumnFormula>MID($B2,FIND(M$1,$B2)+LEN(M$1),FIND(" ",$B2,FIND(M$1,$B2)+LEN(M$1))-FIND(M$1,$B2)-LEN(M$1))</calculatedColumnFormula>
    </tableColumn>
    <tableColumn id="18" xr3:uid="{CDE13253-06BF-40DE-A183-AFB5D44C9EE9}" name="platform-id " dataDxfId="486">
      <calculatedColumnFormula>MID($B2,FIND(N$1,$B2)+LEN(N$1),FIND(" ",$B2,FIND(N$1,$B2)+LEN(N$1))-FIND(N$1,$B2)-LEN(N$1))</calculatedColumnFormula>
    </tableColumn>
    <tableColumn id="17" xr3:uid="{5FF87806-40F8-4314-BD1F-350785D41076}" name="product " dataDxfId="485">
      <calculatedColumnFormula>MID($B2,FIND(O$1,$B2)+LEN(O$1),FIND(" ",$B2,FIND(O$1,$B2)+LEN(O$1))-FIND(O$1,$B2)-LEN(O$1))</calculatedColumnFormula>
    </tableColumn>
    <tableColumn id="16" xr3:uid="{EF6A7516-3C65-4B9F-9108-9BB84BC88D9A}" name="time-zone " dataDxfId="484">
      <calculatedColumnFormula>MID($B2,FIND(P$1,$B2)+LEN(P$1),FIND(" ",$B2,FIND(P$1,$B2)+LEN(P$1))-FIND(P$1,$B2)-LEN(P$1))</calculatedColumnFormula>
    </tableColumn>
    <tableColumn id="15" xr3:uid="{C7408F77-4DC3-4ADD-A573-EC8D1ADC25CF}" name="unicast-address { { " dataDxfId="483">
      <calculatedColumnFormula>MID($B2,FIND(Q$1,$B2)+LEN(Q$1),FIND(" } } ",$B2,FIND(Q$1,$B2)+LEN(Q$1))-FIND(Q$1,$B2)-LEN(Q$1))</calculatedColumnFormula>
    </tableColumn>
    <tableColumn id="14" xr3:uid="{56EBFA50-9B15-4873-8E99-C76D4765FD25}" name="version " dataDxfId="482">
      <calculatedColumnFormula>MID($B2,FIND(R$1,$B2)+LEN(R$1),FIND(" ",$B2,FIND(R$1,$B2)+LEN(R$1))-FIND(R$1,$B2)-LEN(R$1))</calculatedColumnFormula>
    </tableColumn>
  </tableColumns>
  <tableStyleInfo name="TableStyleLight9"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5D7C8B0-5268-4462-BD9D-39BB8E162913}" name="CMDeviceGroup" displayName="CMDeviceGroup" ref="A1:G2" totalsRowShown="0" headerRowDxfId="481" dataDxfId="480">
  <tableColumns count="7">
    <tableColumn id="1" xr3:uid="{558DF889-E7D6-43B6-BE49-F2A2F0AAB0BF}" name="PASTE ONE LINE CONFIG HERE" dataDxfId="479"/>
    <tableColumn id="2" xr3:uid="{A446116B-F135-43F7-A134-7B66BBD87A83}" name="Replace last } with &quot; }&quot;" dataDxfId="478">
      <calculatedColumnFormula>LEFT(A2,LEN(A2)-1)&amp;" }"</calculatedColumnFormula>
    </tableColumn>
    <tableColumn id="20" xr3:uid="{2D9977D1-3BAA-4ADA-9029-8DCA5A153A59}" name="cm device-group " dataDxfId="477">
      <calculatedColumnFormula>IFERROR(MID($B2,FIND(C$1,$B2)+LEN(C$1),FIND(" ",$B2,FIND(C$1,$B2)+LEN(C$1))-FIND(C$1,$B2)-LEN(C$1)),"")</calculatedColumnFormula>
    </tableColumn>
    <tableColumn id="19" xr3:uid="{51B3A6F5-6363-4FFA-8247-32866DA28342}" name=" auto-sync " dataDxfId="476">
      <calculatedColumnFormula>IFERROR(MID($B2,FIND(D$1,$B2)+LEN(D$1),FIND(" ",$B2,FIND(D$1,$B2)+LEN(D$1))-FIND(D$1,$B2)-LEN(D$1)),"")</calculatedColumnFormula>
    </tableColumn>
    <tableColumn id="18" xr3:uid="{A449D207-C672-440A-9141-F8DB91D86F3A}" name="devices { " dataDxfId="475">
      <calculatedColumnFormula>IFERROR(MID($B2,FIND(E$1,$B2)+LEN(E$1),FIND(" { } } ",$B2,FIND(E$1,$B2)+LEN(E$1))-FIND(E$1,$B2)-LEN(E$1)),"")</calculatedColumnFormula>
    </tableColumn>
    <tableColumn id="16" xr3:uid="{71D993E1-A81F-448A-9544-08DB985AB69D}" name=" type " dataDxfId="474">
      <calculatedColumnFormula>IFERROR(MID($B2,FIND(F$1,$B2)+LEN(F$1),FIND(" ",$B2,FIND(F$1,$B2)+LEN(F$1))-FIND(F$1,$B2)-LEN(F$1)),"")</calculatedColumnFormula>
    </tableColumn>
    <tableColumn id="17" xr3:uid="{78B9DAD9-03D5-469B-BAB6-367069BFA868}" name="network-failover " dataDxfId="473">
      <calculatedColumnFormula>IFERROR(MID($B2,FIND(G$1,$B2)+LEN(G$1),FIND(" ",$B2,FIND(G$1,$B2)+LEN(G$1))-FIND(G$1,$B2)-LEN(G$1)),"")</calculatedColumnFormula>
    </tableColumn>
  </tableColumns>
  <tableStyleInfo name="TableStyleLight9"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5454719-3DF4-49F7-A189-CC8A8E3B2812}" name="CMDeviceGroup42" displayName="CMDeviceGroup42" ref="A1:C2" totalsRowShown="0" headerRowDxfId="472" dataDxfId="471">
  <tableColumns count="3">
    <tableColumn id="1" xr3:uid="{E8879504-0448-4142-BBC3-980D11AC458F}" name="PASTE ONE LINE CONFIG HERE" dataDxfId="470"/>
    <tableColumn id="2" xr3:uid="{07BEC1F1-1F1B-42A9-AD9E-2A8EE357FC98}" name="Replace last } with &quot; }&quot;" dataDxfId="469">
      <calculatedColumnFormula>LEFT(A2,LEN(A2)-1)&amp;" }"</calculatedColumnFormula>
    </tableColumn>
    <tableColumn id="20" xr3:uid="{1A46B8AD-E38D-4974-B639-AE31C473512C}" name="cm traffic-group " dataDxfId="468">
      <calculatedColumnFormula>IFERROR(MID($B2,FIND(C$1,$B2)+LEN(C$1),FIND(" ",$B2,FIND(C$1,$B2)+LEN(C$1))-FIND(C$1,$B2)-LEN(C$1)),"")</calculatedColumnFormula>
    </tableColumn>
  </tableColumns>
  <tableStyleInfo name="TableStyleLight9"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195BE53-4633-4D88-9924-F11A2362A45F}" name="CMDeviceGroup4243" displayName="CMDeviceGroup4243" ref="A1:C2" totalsRowShown="0" headerRowDxfId="467" dataDxfId="466">
  <tableColumns count="3">
    <tableColumn id="1" xr3:uid="{92B9D7A2-968E-4984-A9C3-F83459B12A4D}" name="PASTE ONE LINE CONFIG HERE" dataDxfId="465"/>
    <tableColumn id="2" xr3:uid="{BF19733E-4204-469A-A93C-49A776710E8B}" name="Replace last } with &quot; }&quot;" dataDxfId="464">
      <calculatedColumnFormula>LEFT(A2,LEN(A2)-1)&amp;" }"</calculatedColumnFormula>
    </tableColumn>
    <tableColumn id="20" xr3:uid="{3880EA60-3276-4519-BFEB-FC7803D5AEA8}" name="cm trust-domain " dataDxfId="463">
      <calculatedColumnFormula>IFERROR(MID($B2,FIND(C$1,$B2)+LEN(C$1),FIND(" ",$B2,FIND(C$1,$B2)+LEN(C$1))-FIND(C$1,$B2)-LEN(C$1)),"")</calculatedColumnFormula>
    </tableColumn>
  </tableColumns>
  <tableStyleInfo name="TableStyleLight9"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9B4E516-7405-46C3-A056-EBD932EBB2FC}" name="SysGlobalSettings424346" displayName="SysGlobalSettings424346" ref="A1:B2" totalsRowShown="0" headerRowDxfId="462" dataDxfId="461">
  <tableColumns count="2">
    <tableColumn id="1" xr3:uid="{C93C95D8-EEEA-400D-B56B-984EEEB9CF8C}" name="PASTE ONE LINE CONFIG HERE" dataDxfId="460"/>
    <tableColumn id="2" xr3:uid="{B23638D9-17B5-4AD2-B652-BDB2554A5621}" name="Replace last } with &quot; }&quot;" dataDxfId="459">
      <calculatedColumnFormula>LEFT(A2,LEN(A2)-1)&amp;" }"</calculatedColumnFormula>
    </tableColumn>
  </tableColumns>
  <tableStyleInfo name="TableStyleLight9"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8C0C9A2-2875-495F-908E-E7250D73FAC5}" name="Hostname" displayName="Hostname" ref="A1:C2" totalsRowShown="0" headerRowDxfId="458" dataDxfId="457">
  <tableColumns count="3">
    <tableColumn id="1" xr3:uid="{0E1A77C0-9A62-4304-A13C-8F94916D9787}" name="PASTE ONE LINE CONFIG HERE" dataDxfId="456"/>
    <tableColumn id="2" xr3:uid="{D74BB0F7-3990-475D-9AE6-F04A37865FAD}" name="Replace last } with &quot; }&quot;" dataDxfId="455">
      <calculatedColumnFormula>LEFT(A2,LEN(A2)-1)&amp;" }"</calculatedColumnFormula>
    </tableColumn>
    <tableColumn id="3" xr3:uid="{467B001C-A66F-41FD-8952-DAD303CC1361}" name="HOSTNAME" dataDxfId="454">
      <calculatedColumnFormula>IFERROR(MID(MID(B2,FIND("hostname ",B2)+9,100),1,FIND(" ",MID(B2,FIND("hostname ",B2)+9,100))-1),MID(MID(B2,FIND("hostname ",B2)+9,100),1,FIND(" ",MID(B2,FIND("hostname ",B2)+9,100))-1))</calculatedColumnFormula>
    </tableColumn>
  </tableColumns>
  <tableStyleInfo name="TableStyleLight9"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1B937304-A0B9-4F1F-ADE2-5D0328D66E89}" name="Partition" displayName="Partition" ref="A1:D2" totalsRowShown="0" headerRowDxfId="453" dataDxfId="452">
  <tableColumns count="4">
    <tableColumn id="1" xr3:uid="{3C36E68C-627D-4D6A-B912-B62F7EC27F8F}" name="PASTE ONE LINE CONFIG HERE" dataDxfId="451"/>
    <tableColumn id="3" xr3:uid="{F552FDBE-7408-4CA6-BCCD-7DF15CCA0E8C}" name="Replace last } with &quot; }&quot;" dataDxfId="450">
      <calculatedColumnFormula>LEFT(A2,LEN(A2)-1)&amp;" }"</calculatedColumnFormula>
    </tableColumn>
    <tableColumn id="4" xr3:uid="{600087F4-F12A-4826-A2F1-834D8FF2E508}" name="NAME" dataDxfId="449">
      <calculatedColumnFormula>MID(A2,FIND("auth partition ",A2)+15,FIND(" ",A2,FIND("auth partition ",A2)+15)-FIND("auth partition ",A2)-15)</calculatedColumnFormula>
    </tableColumn>
    <tableColumn id="2" xr3:uid="{735378D8-C705-4607-8E3D-45E31CFAFA60}" name="DESCRIPTION" dataDxfId="448">
      <calculatedColumnFormula>MID(B2,FIND("description ",B2)+12,FIND("}",B2,FIND("description ",B2)+12)-FIND("description ",B2)-12)</calculatedColumnFormula>
    </tableColumn>
  </tableColumns>
  <tableStyleInfo name="TableStyleLight9"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A49E448F-FF75-4388-A96B-0D0F6BAB7D43}" name="FWMgmt" displayName="FWMgmt" ref="A1:C2" totalsRowShown="0" headerRowDxfId="447" dataDxfId="446">
  <tableColumns count="3">
    <tableColumn id="1" xr3:uid="{72FC23AA-6EDE-4AA9-9777-49EDC68DF636}" name="PASTE ONE LINE CONFIG HERE" dataDxfId="445"/>
    <tableColumn id="3" xr3:uid="{478B6277-2681-40F4-A154-A0104126FFAC}" name="Replace last } with &quot; }&quot;" dataDxfId="444">
      <calculatedColumnFormula>LEFT(A2,LEN(A2)-1)&amp;" }"</calculatedColumnFormula>
    </tableColumn>
    <tableColumn id="4" xr3:uid="{4BE533D2-2419-477F-AE62-DAF5D3D4990D}" name="RULES" dataDxfId="443">
      <calculatedColumnFormula>SUBSTITUTE(SUBSTITUTE(SUBSTITUTE(B2,"{ } } } } ","}"&amp;CHAR(10)),"{ } } } ","}"&amp;CHAR(10))," rules { ",CHAR(10))</calculatedColumnFormula>
    </tableColumn>
  </tableColumns>
  <tableStyleInfo name="TableStyleLight9"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32F0A9-A562-4E16-80A4-0BA391E74044}" name="MgmtIP" displayName="MgmtIP" ref="A1:D2" totalsRowShown="0" headerRowDxfId="442" dataDxfId="441">
  <tableColumns count="4">
    <tableColumn id="1" xr3:uid="{9DBEEF41-1CA5-4979-B435-E12C47921BB2}" name="PASTE ONE LINE CONFIG HERE" dataDxfId="440"/>
    <tableColumn id="3" xr3:uid="{6456A1C3-133E-4801-9654-2DF620B379E1}" name="MGMT IP/CIDR" dataDxfId="439">
      <calculatedColumnFormula>MID(MID(A2,FIND("management-ip ",A2)+14,100),1,FIND(" ",MID(A2,FIND("management-ip ",A2)+14,100))-1)</calculatedColumnFormula>
    </tableColumn>
    <tableColumn id="4" xr3:uid="{9740743B-5E76-458A-9A49-9F9E8A0A68BB}" name="MGMT IP" dataDxfId="438">
      <calculatedColumnFormula>MID(B2,1,FIND("/",B2)-1)</calculatedColumnFormula>
    </tableColumn>
    <tableColumn id="5" xr3:uid="{64E9CF35-58EE-4ABA-96BF-1D1731374F48}" name="CIDR" dataDxfId="437">
      <calculatedColumnFormula>MID(B2,FIND("/",B2),10)</calculatedColumnFormula>
    </tableColumn>
  </tableColumns>
  <tableStyleInfo name="TableStyleLight9"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C03AB90-95E6-4013-9CAF-E3AAE1EECA79}" name="MgmtRoute" displayName="MgmtRoute" ref="A1:B2" totalsRowShown="0" headerRowDxfId="436" dataDxfId="435">
  <tableColumns count="2">
    <tableColumn id="1" xr3:uid="{A44D88F8-3C70-4FC1-BB79-AF95879E9714}" name="PASTE ONE LINE CONFIG HERE" dataDxfId="434"/>
    <tableColumn id="3" xr3:uid="{63C2B605-9459-4847-8CDB-BB179CB106FC}" name="GATEWAY IP" dataDxfId="433">
      <calculatedColumnFormula>MID(MID(A2,FIND("gateway ",A2)+8,100),1,FIND(" ",MID(A2,FIND("gateway ",A2)+8,100))-1)</calculatedColumnFormula>
    </tableColumn>
  </tableColumns>
  <tableStyleInfo name="TableStyleLight9"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2D136DE-526E-461A-9D2F-26F1DC24239A}" name="Provision" displayName="Provision" ref="A1:A2" totalsRowShown="0" headerRowDxfId="432" dataDxfId="431">
  <tableColumns count="1">
    <tableColumn id="1" xr3:uid="{0CFD9B23-95CA-40CA-AB79-F3D69D36E4BF}" name="PASTE ONE LINE CONFIG HERE" dataDxfId="430"/>
  </tableColumns>
  <tableStyleInfo name="TableStyleLight9"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5BD4648-4116-4519-9817-2020166389E3}" name="NTP" displayName="NTP" ref="A1:B2" totalsRowShown="0" headerRowDxfId="429" dataDxfId="428">
  <tableColumns count="2">
    <tableColumn id="1" xr3:uid="{4CC654EC-F65C-4C64-9920-17A3AC8B9AC9}" name="PASTE ONE LINE CONFIG HERE" dataDxfId="427"/>
    <tableColumn id="3" xr3:uid="{121C25A8-920F-4097-8A5D-478F619CD080}" name="SERVER IP" dataDxfId="426">
      <calculatedColumnFormula>MID(MID(A2,FIND("servers { ",A2)+10,100),1,FIND("}",MID(A2,FIND("servers { ",A2)+10,100))-2)</calculatedColumnFormula>
    </tableColumn>
  </tableColumns>
  <tableStyleInfo name="TableStyleLight9"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16E384-A4CC-4F7C-9572-CC7C65787956}" name="DNS" displayName="DNS" ref="A1:B2" totalsRowShown="0" headerRowDxfId="425" dataDxfId="424">
  <tableColumns count="2">
    <tableColumn id="1" xr3:uid="{F541525E-45BA-4B22-A53E-04201A4468D5}" name="PASTE ONE LINE CONFIG HERE" dataDxfId="423"/>
    <tableColumn id="3" xr3:uid="{43C7D69C-89B7-4797-949C-BF740E099A1C}" name="SERVER IP" dataDxfId="422">
      <calculatedColumnFormula>MID(MID(A2,FIND("servers { ",A2)+10,100),1,FIND("}",MID(A2,FIND("servers { ",A2)+10,100))-2)</calculatedColumnFormula>
    </tableColumn>
  </tableColumns>
  <tableStyleInfo name="TableStyleLight9"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F066E83-AEF5-4B1F-858B-AC1BA530699E}" name="Syslog" displayName="Syslog" ref="A1:A2" totalsRowShown="0" headerRowDxfId="421" dataDxfId="420">
  <tableColumns count="1">
    <tableColumn id="1" xr3:uid="{2682D20B-6CBC-45B8-B83E-59C655678819}" name="PASTE ONE LINE CONFIG HERE" dataDxfId="419"/>
  </tableColumns>
  <tableStyleInfo name="TableStyleLight9"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F234BC7-3CDC-41A2-8B1E-E8BF65DCEA4A}" name="SNMP" displayName="SNMP" ref="A1:A2" totalsRowShown="0" headerRowDxfId="418" dataDxfId="417">
  <tableColumns count="1">
    <tableColumn id="1" xr3:uid="{0021A14B-41CA-4157-9223-18573AD6BDC9}" name="PASTE ONE LINE CONFIG HERE" dataDxfId="416"/>
  </tableColumns>
  <tableStyleInfo name="TableStyleLight9"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30FE7F0-4F31-4954-B4B5-1676C7368E24}" name="User" displayName="User" ref="A1:E2" totalsRowShown="0" headerRowDxfId="415" dataDxfId="414">
  <tableColumns count="5">
    <tableColumn id="1" xr3:uid="{374CB438-F0B9-4D5E-BAB6-8B5149791284}" name="PASTE ONE LINE CONFIG HERE" dataDxfId="413"/>
    <tableColumn id="2" xr3:uid="{465EFB93-A931-4B68-8BDD-B82F5C972B8D}" name="Replace last } with &quot; }&quot;" dataDxfId="412">
      <calculatedColumnFormula>LEFT(A2,LEN(A2)-1)&amp;" }"</calculatedColumnFormula>
    </tableColumn>
    <tableColumn id="3" xr3:uid="{0A3BD48D-2D2E-4CD4-BC90-B11271780E34}" name="USERNAME" dataDxfId="411">
      <calculatedColumnFormula>MID(A2,FIND("auth user ",A2)+10,FIND(" ",A2,FIND("auth user ",A2)+10)-FIND("auth user ",A2)-10)</calculatedColumnFormula>
    </tableColumn>
    <tableColumn id="4" xr3:uid="{63BD5639-6EE9-453F-9361-DD4C190078C9}" name="PARTITION" dataDxfId="410">
      <calculatedColumnFormula>MID(A2,FIND("partition-access {",A2)+19,FIND(" } } ",A2,FIND("partition-access { ",A2)+19)-FIND("partition-access {",A2)-19)</calculatedColumnFormula>
    </tableColumn>
    <tableColumn id="5" xr3:uid="{773B0F0F-F296-45EE-8010-1971058D1009}" name="SHELL" dataDxfId="409">
      <calculatedColumnFormula>MID(B2,FIND("shell ",B2)+6,FIND(" ",B2,FIND("shell ",B2)+6)-FIND("shell ",B2)-6)</calculatedColumnFormula>
    </tableColumn>
  </tableColumns>
  <tableStyleInfo name="TableStyleLight9"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0FC50C6-9891-47C8-91B7-4C8B3620170D}" name="PasswordPolicy" displayName="PasswordPolicy" ref="A1:B2" totalsRowShown="0" headerRowDxfId="408" dataDxfId="407">
  <tableColumns count="2">
    <tableColumn id="1" xr3:uid="{DB94F7AF-9DBF-46D1-8CCF-E32C7C710446}" name="PASTE ONE LINE CONFIG HERE" dataDxfId="406"/>
    <tableColumn id="2" xr3:uid="{5E14D537-09AC-45B2-9060-099822DCDB41}" name="Replace last } with &quot; }&quot;" dataDxfId="405">
      <calculatedColumnFormula>LEFT(A2,LEN(A2)-1)&amp;" }"</calculatedColumnFormula>
    </tableColumn>
  </tableColumns>
  <tableStyleInfo name="TableStyleLight9"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51685A-5AC5-4F44-9F29-5636265D299E}" name="HTTPD" displayName="HTTPD" ref="A1:B2" totalsRowShown="0" headerRowDxfId="404" dataDxfId="403">
  <tableColumns count="2">
    <tableColumn id="1" xr3:uid="{31E922C6-067F-4D99-A4E8-E984981FE406}" name="PASTE ONE LINE CONFIG HERE" dataDxfId="402"/>
    <tableColumn id="2" xr3:uid="{3CA955CB-091E-4AD6-8E5C-734AEF9FF807}" name="Replace last } with &quot; }&quot;" dataDxfId="401">
      <calculatedColumnFormula>LEFT(A2,LEN(A2)-1)&amp;" }"</calculatedColumnFormula>
    </tableColumn>
  </tableColumns>
  <tableStyleInfo name="TableStyleLight9"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AE67ECA-EDD2-4ED7-8672-82C7EBF0A9ED}" name="SSHD" displayName="SSHD" ref="A1:B2" totalsRowShown="0" headerRowDxfId="400" dataDxfId="399">
  <tableColumns count="2">
    <tableColumn id="1" xr3:uid="{450EFF4B-8C9C-458B-8763-CDEEDB68ABF6}" name="PASTE ONE LINE CONFIG HERE" dataDxfId="398"/>
    <tableColumn id="2" xr3:uid="{343BAA4D-E86A-4BDA-8ED3-BF91833F93A3}" name="Replace last } with &quot; }&quot;" dataDxfId="397">
      <calculatedColumnFormula>LEFT(A2,LEN(A2)-1)&amp;" }"</calculatedColumnFormula>
    </tableColumn>
  </tableColumns>
  <tableStyleInfo name="TableStyleLight9"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5C0A91F-94DA-416B-BF83-42D121530A60}" name="CLIGlobalSettings" displayName="CLIGlobalSettings" ref="A1:B2" totalsRowShown="0" headerRowDxfId="396" dataDxfId="395">
  <tableColumns count="2">
    <tableColumn id="1" xr3:uid="{F0D27372-CB50-4329-8F56-92BA8BD71353}" name="PASTE ONE LINE CONFIG HERE" dataDxfId="394"/>
    <tableColumn id="2" xr3:uid="{923783EF-24C7-4125-9490-A9CC9E51DC89}" name="Replace last } with &quot; }&quot;" dataDxfId="393">
      <calculatedColumnFormula>LEFT(A2,LEN(A2)-1)&amp;" }"</calculatedColumnFormula>
    </tableColumn>
  </tableColumns>
  <tableStyleInfo name="TableStyleLight9"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EF43F9D-6EBC-4C64-9E44-E9683C245476}" name="SysGlobalSettings" displayName="SysGlobalSettings" ref="A1:B2" totalsRowShown="0" headerRowDxfId="392" dataDxfId="391">
  <tableColumns count="2">
    <tableColumn id="1" xr3:uid="{7918E1E1-C922-430F-81E3-4B15B7AE3452}" name="PASTE ONE LINE CONFIG HERE" dataDxfId="390"/>
    <tableColumn id="2" xr3:uid="{A41882BE-466D-454B-B726-7ACB08DB96D4}" name="Replace last } with &quot; }&quot;" dataDxfId="389">
      <calculatedColumnFormula>LEFT(A2,LEN(A2)-1)&amp;" }"</calculatedColumnFormula>
    </tableColumn>
  </tableColumns>
  <tableStyleInfo name="TableStyleLight9"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F18FD5-EF3B-49B8-AB0F-70CEB08A0749}" name="Auth" displayName="Auth" ref="A1:B2" totalsRowShown="0" headerRowDxfId="388" dataDxfId="387">
  <tableColumns count="2">
    <tableColumn id="1" xr3:uid="{E623FE76-1750-4340-9A05-E4997087491D}" name="PASTE ONE LINE CONFIG HERE" dataDxfId="386"/>
    <tableColumn id="6" xr3:uid="{DC4EDA3F-EA58-48CF-A2E2-AF9FA11C7D54}" name="Replace last } with &quot; }&quot;" dataDxfId="385">
      <calculatedColumnFormula>LEFT(A2,LEN(A2)-1)&amp;" }"</calculatedColumnFormula>
    </tableColumn>
  </tableColumns>
  <tableStyleInfo name="TableStyleLight9"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1F773F5-43D7-4912-95E2-50743C1C2ED8}" name="DeviceCertificateDetails" displayName="DeviceCertificateDetails" ref="A1:H2" totalsRowShown="0" headerRowDxfId="384" dataDxfId="383">
  <tableColumns count="8">
    <tableColumn id="1" xr3:uid="{0A8C32B5-FF67-4823-8319-E912E003AD40}" name="FileName" dataDxfId="382"/>
    <tableColumn id="2" xr3:uid="{385B9FE5-7A56-4156-A45D-87636B59CD59}" name="FilePath" dataDxfId="381"/>
    <tableColumn id="3" xr3:uid="{74B5B23A-DFC3-4016-B01C-D683A7353032}" name="Subject" dataDxfId="380"/>
    <tableColumn id="6" xr3:uid="{37F6AD33-AF03-4CE7-9DAF-BBDC3F4AA9C0}" name="Issuer" dataDxfId="379"/>
    <tableColumn id="4" xr3:uid="{284365A3-76DE-4F2A-9070-B1CB28EC310B}" name="Thumbprint" dataDxfId="378"/>
    <tableColumn id="8" xr3:uid="{93EBCAEA-55F1-452A-9A8D-053492D10C83}" name="NotBefore" dataDxfId="377"/>
    <tableColumn id="7" xr3:uid="{D124E476-C364-4307-98D8-7B0AFC5C639D}" name="NotAfter" dataDxfId="376"/>
    <tableColumn id="5" xr3:uid="{8907FC09-D75B-468B-A3E0-836C4F837E33}" name="SAN" dataDxfId="375"/>
  </tableColumns>
  <tableStyleInfo name="TableStyleLight9"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639742-B351-443D-B8DE-373D10FF915F}" name="Cert" displayName="Cert" ref="A1:C2" totalsRowShown="0" headerRowDxfId="374" dataDxfId="373">
  <tableColumns count="3">
    <tableColumn id="1" xr3:uid="{3C45EAA3-2203-4C32-BD46-1D8EAADD800D}" name="PASTE ONE LINE CONFIG HERE" dataDxfId="372"/>
    <tableColumn id="2" xr3:uid="{637C5AF0-B59A-4F71-85BD-73D8CCA2E4AF}" name="NAME" dataDxfId="371">
      <calculatedColumnFormula>MID(A2,FIND("ssl-cert /",A2)+9,FIND(" ",A2,FIND("ssl-cert /",A2)+9)-FIND("ssl-cert /",A2)-9)</calculatedColumnFormula>
    </tableColumn>
    <tableColumn id="3" xr3:uid="{4FD7D5E8-465F-440D-8096-C8DEB26F491B}" name="CACHE PATH" dataDxfId="370">
      <calculatedColumnFormula>MID(A2,FIND("cache-path /",A2)+11,FIND(" ",A2,FIND("cache-path /",A2)+11)-FIND("cache-path /",A2)-11)</calculatedColumnFormula>
    </tableColumn>
  </tableColumns>
  <tableStyleInfo name="TableStyleLight9"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1DBCD74-10F8-40A8-9AFC-10B7AAF07DCF}" name="CertificateDetails" displayName="CertificateDetails" ref="A1:I2" totalsRowShown="0" headerRowDxfId="369" dataDxfId="368">
  <tableColumns count="9">
    <tableColumn id="1" xr3:uid="{FC9BCE92-0177-4D0E-9A7B-E0D329D4EBA3}" name="FileName" dataDxfId="367"/>
    <tableColumn id="2" xr3:uid="{9FCD17EF-A696-4279-93B3-CF8FA133EAD7}" name="FilePath" dataDxfId="366"/>
    <tableColumn id="3" xr3:uid="{05A0806A-43B6-458E-8DB4-345AD6985493}" name="Subject" dataDxfId="365"/>
    <tableColumn id="6" xr3:uid="{3368907D-2D59-419A-9159-FC2C7BE528C3}" name="Issuer" dataDxfId="364"/>
    <tableColumn id="4" xr3:uid="{D61C6126-84D7-41E4-8EE7-413363C8D765}" name="Thumbprint" dataDxfId="363"/>
    <tableColumn id="8" xr3:uid="{9B6B500E-B94F-440E-9C2D-BA8B515CD28A}" name="NotBefore" dataDxfId="362"/>
    <tableColumn id="7" xr3:uid="{55D84591-481D-4109-88C7-99D21CF7F2C0}" name="NotAfter" dataDxfId="361"/>
    <tableColumn id="5" xr3:uid="{53F736FD-89A4-4B01-A4F9-D51368003EC7}" name="SAN" dataDxfId="360"/>
    <tableColumn id="9" xr3:uid="{465BDCA8-77DD-47FF-9D56-4DFE4F095A11}" name="SAN without CHAR(10)" dataDxfId="359">
      <calculatedColumnFormula>SUBSTITUTE(CertificateDetails[[#This Row],[SAN]],CHAR(10),"")</calculatedColumnFormula>
    </tableColumn>
  </tableColumns>
  <tableStyleInfo name="TableStyleLight9"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319D53-0BA6-4554-8F41-DBE9F0B8916F}" name="Key" displayName="Key" ref="A1:C2" totalsRowShown="0" headerRowDxfId="358" dataDxfId="357">
  <tableColumns count="3">
    <tableColumn id="1" xr3:uid="{6A1D855C-FD93-4AAC-9049-E32FE2716176}" name="PASTE ONE LINE CONFIG HERE" dataDxfId="356"/>
    <tableColumn id="2" xr3:uid="{3349D020-6DAD-4BB3-B11A-3E686A5F6C1D}" name="NAME" dataDxfId="355">
      <calculatedColumnFormula>MID(A2,FIND("ssl-key /",A2)+8,FIND(" ",A2,FIND("ssl-key /",A2)+8)-FIND("ssl-key /",A2)-8)</calculatedColumnFormula>
    </tableColumn>
    <tableColumn id="3" xr3:uid="{89D767A0-0E4C-4E71-8802-74AB002BED0A}" name="CACHE PATH" dataDxfId="354">
      <calculatedColumnFormula>MID(A2,FIND("cache-path /",A2)+11,FIND(" ",A2,FIND("cache-path /",A2)+11)-FIND("cache-path /",A2)-11)</calculatedColumnFormula>
    </tableColumn>
  </tableColumns>
  <tableStyleInfo name="TableStyleLight9"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80BD884-92B8-421A-863D-33E52E618FFE}" name="UIlogAccess" displayName="UIlogAccess" ref="A1:D2" totalsRowShown="0" headerRowDxfId="353" dataDxfId="352">
  <tableColumns count="4">
    <tableColumn id="1" xr3:uid="{273FACDC-29F1-4E83-AF70-3F815ED5C9B8}" name="PASTE ONE LINE CONFIG HERE" dataDxfId="351"/>
    <tableColumn id="2" xr3:uid="{FDF7CF76-41B1-43ED-A709-743D7A10409A}" name="ROLE" dataDxfId="350">
      <calculatedColumnFormula>MID(A2,FIND("UI.logAccess.",A2)+13,FIND(":",A2,FIND("UI.logAccess.",A2)+13)-FIND("UI.logAccess.",A2)-14)</calculatedColumnFormula>
    </tableColumn>
    <tableColumn id="3" xr3:uid="{EE8D2A8B-93C4-43BC-82DE-B93DD7057360}" name="DEFAULT" dataDxfId="349">
      <calculatedColumnFormula>MID(A2,FIND("default=",A2)+8,FIND(":",A2,FIND("default=",A2)+8)-FIND("default=",A2)-8)</calculatedColumnFormula>
    </tableColumn>
    <tableColumn id="4" xr3:uid="{45FC42DA-60A6-4EB9-B56E-AF15762BA493}" name="COMBINED" dataDxfId="348">
      <calculatedColumnFormula>UIlogAccess[[#This Row],[ROLE]]&amp;":"&amp;UIlogAccess[[#This Row],[DEFAULT]]&amp;"@"</calculatedColumnFormula>
    </tableColumn>
  </tableColumns>
  <tableStyleInfo name="TableStyleLight9" showFirstColumn="0" showLastColumn="0"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02A10D3-904C-467A-98CF-7B9932189ACE}" name="ConfigAuditing" displayName="ConfigAuditing" ref="A1:C2" totalsRowShown="0" headerRowDxfId="347" dataDxfId="346">
  <tableColumns count="3">
    <tableColumn id="1" xr3:uid="{9D8EFE62-4DD3-41F0-9CF7-69D7D6D01C61}" name="PASTE ONE LINE CONFIG HERE" dataDxfId="345"/>
    <tableColumn id="2" xr3:uid="{A80B5554-D1F8-4A7E-9135-BF6C411F7B6C}" name="DB" dataDxfId="344">
      <calculatedColumnFormula>MID(A2,FIND("[Config.Auditing]",A2),FIND(":",A2,FIND("[Config.Auditing]",A2))-FIND("[Config.Auditing]",A2))</calculatedColumnFormula>
    </tableColumn>
    <tableColumn id="3" xr3:uid="{0C392A51-0280-4932-8CDF-DA728F124BDF}" name="DEFAULT" dataDxfId="343">
      <calculatedColumnFormula>MID(A2,FIND("default=",A2)+8,FIND(":",A2,FIND("default=",A2)+8)-FIND("default=",A2)-8)</calculatedColumnFormula>
    </tableColumn>
  </tableColumns>
  <tableStyleInfo name="TableStyleLight9" showFirstColumn="0" showLastColumn="0"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630023B-BE49-46C8-91BC-393125F292F4}" name="Trunk" displayName="Trunk" ref="A1:D2" totalsRowShown="0" headerRowDxfId="342" dataDxfId="341">
  <tableColumns count="4">
    <tableColumn id="1" xr3:uid="{6F1AB898-B55D-4A9D-9121-2C28D07F7891}" name="PASTE ONE LINE CONFIG HERE" dataDxfId="340"/>
    <tableColumn id="5" xr3:uid="{260D75EC-E485-43FE-9AFC-68C167DC6D05}" name="TRUNK NAME" dataDxfId="339">
      <calculatedColumnFormula>MID(MID(A2,FIND("net trunk ",A2)+10,100),1,FIND(" ",MID(A2,FIND("net trunk ",A2)+10,100))-1)</calculatedColumnFormula>
    </tableColumn>
    <tableColumn id="3" xr3:uid="{E4BF7C5C-424A-4EC4-BFDA-56CF95E85162}" name="INTERFACE" dataDxfId="338">
      <calculatedColumnFormula>MID(MID(A2,FIND("interfaces { ",A2)+13,100),1,FIND("}",MID(A2,FIND("interfaces { ",A2)+13,100))-2)</calculatedColumnFormula>
    </tableColumn>
    <tableColumn id="7" xr3:uid="{AF45CA18-9179-4960-858F-67BB8C42B142}" name="LACP" dataDxfId="337">
      <calculatedColumnFormula>IFERROR(MID(MID(A2,FIND("lacp ",A2)+5,100),1,FIND(" ",MID(A2,FIND("lacp ",A2)+5,100))-2),MID(MID(A2,FIND("lacp ",A2)+5,100),1,FIND("}",MID(A2,FIND("lacp ",A2)+5,100))-2))</calculatedColumnFormula>
    </tableColumn>
  </tableColumns>
  <tableStyleInfo name="TableStyleLight9" showFirstColumn="0" showLastColumn="0"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89D1328-1FC8-4AC9-94C4-C8A7C6778D65}" name="NetRouteDomain" displayName="NetRouteDomain" ref="A1:D2" totalsRowShown="0" headerRowDxfId="336" dataDxfId="335">
  <tableColumns count="4">
    <tableColumn id="1" xr3:uid="{C53A1150-B9B6-4EAA-B2A5-7025EBAC56B3}" name="PASTE ONE LINE CONFIG HERE" dataDxfId="334"/>
    <tableColumn id="2" xr3:uid="{9D4C9A0B-58CA-4C24-857D-3B5352A53441}" name="Replace last } with &quot; }&quot;" dataDxfId="333">
      <calculatedColumnFormula>LEFT(A2,LEN(A2)-1)&amp;" }"</calculatedColumnFormula>
    </tableColumn>
    <tableColumn id="3" xr3:uid="{C2BAF784-8C85-4935-9A57-D7C0BC50AC3C}" name="net route-domain " dataDxfId="332">
      <calculatedColumnFormula>IFERROR(MID($B2,FIND(C$1,$B2)+LEN(C$1),FIND(" ",$B2,FIND(C$1,$B2)+LEN(C$1))-FIND(C$1,$B2)-LEN(C$1)),"")</calculatedColumnFormula>
    </tableColumn>
    <tableColumn id="4" xr3:uid="{39F90C9F-B3E2-4AC3-8FFE-DAD6A51B5BCB}" name="vlans { " dataDxfId="331">
      <calculatedColumnFormula>IFERROR(MID($B2,FIND(D$1,$B2)+LEN(D$1),FIND(" } }",$B2,FIND(D$1,$B2)+LEN(D$1))-FIND(D$1,$B2)-LEN(D$1)),"")</calculatedColumnFormula>
    </tableColumn>
  </tableColumns>
  <tableStyleInfo name="TableStyleLight9" showFirstColumn="0" showLastColumn="0"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9BF67BCE-80A4-48B5-BA77-EE2995D1626C}" name="NetTunnels" displayName="NetTunnels" ref="A1:E2" totalsRowShown="0" headerRowDxfId="330" dataDxfId="329">
  <tableColumns count="5">
    <tableColumn id="1" xr3:uid="{871F81CA-4208-4CF0-8AD2-FFB816CAE220}" name="PASTE ONE LINE CONFIG HERE" dataDxfId="328"/>
    <tableColumn id="2" xr3:uid="{FCA1C8D7-80E7-4070-BF3D-8D407C6BAD99}" name="Replace last } with &quot; }&quot;" dataDxfId="327">
      <calculatedColumnFormula>LEFT(A2,LEN(A2)-1)&amp;" }"</calculatedColumnFormula>
    </tableColumn>
    <tableColumn id="3" xr3:uid="{9DF2F0CF-E142-4F3A-8A79-0A4FA76AD8D7}" name="net tunnels tunnel " dataDxfId="326">
      <calculatedColumnFormula>IFERROR(MID($B2,FIND(C$1,$B2)+LEN(C$1),FIND(" ",$B2,FIND(C$1,$B2)+LEN(C$1))-FIND(C$1,$B2)-LEN(C$1)),"")</calculatedColumnFormula>
    </tableColumn>
    <tableColumn id="4" xr3:uid="{BAE6978C-0DFC-4530-A711-CE9EA5B8DBF5}" name="description &quot;" dataDxfId="325">
      <calculatedColumnFormula>IFERROR(MID($B2,FIND(D$1,$B2)+LEN(D$1),FIND(CHAR(34),$B2,FIND(D$1,$B2)+LEN(D$1))-FIND(D$1,$B2)-LEN(D$1)),"")</calculatedColumnFormula>
    </tableColumn>
    <tableColumn id="5" xr3:uid="{40419EA4-19D3-486E-970B-D1DB44DFF38A}" name="profile " dataDxfId="324">
      <calculatedColumnFormula>IFERROR(MID($B2,FIND(E$1,$B2)+LEN(E$1),FIND(" ",$B2,FIND(E$1,$B2)+LEN(E$1))-FIND(E$1,$B2)-LEN(E$1)),"")</calculatedColumnFormula>
    </tableColumn>
  </tableColumns>
  <tableStyleInfo name="TableStyleLight9" showFirstColumn="0" showLastColumn="0"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8681DC6-D511-45BD-BB10-9892B51A7C87}" name="VLAN" displayName="VLAN" ref="A1:H2" totalsRowShown="0" headerRowDxfId="323" dataDxfId="322">
  <tableColumns count="8">
    <tableColumn id="1" xr3:uid="{B73D5A2F-4019-4255-A8D3-0048F130AA5C}" name="PASTE ONE LINE CONFIG HERE" dataDxfId="321"/>
    <tableColumn id="2" xr3:uid="{93945078-E7AD-432E-ACAD-FF94077BD597}" name="VLAN NAME" dataDxfId="320">
      <calculatedColumnFormula>LEFT(SUBSTITUTE(A2,"net vlan /Common/",""),FIND(" ",SUBSTITUTE(A2,"net vlan /Common/",""))-1)</calculatedColumnFormula>
    </tableColumn>
    <tableColumn id="3" xr3:uid="{63CB0AF2-00B6-4A08-8F2F-4D727BDECF33}" name="FAILSAFE" dataDxfId="319">
      <calculatedColumnFormula>IFERROR(MID(MID(A2,FIND(" failsafe ",A2)+10,50),1,FIND(" ",MID(A2,FIND(" failsafe ",A2)+10,50))),"")</calculatedColumnFormula>
    </tableColumn>
    <tableColumn id="4" xr3:uid="{D149AA1B-EB47-4027-AF7C-221819D587AF}" name="FAILSAFE ACTION" dataDxfId="318">
      <calculatedColumnFormula>IFERROR(MID(MID(A2,FIND(" failsafe-action ",A2)+17,50),1,FIND(" ",MID(A2,FIND(" failsafe-action ",A2)+17,50))),"")</calculatedColumnFormula>
    </tableColumn>
    <tableColumn id="5" xr3:uid="{C1598878-1EF1-45B2-9A8C-6711CFD868CF}" name="FAILSAFE TIMEOUT" dataDxfId="317">
      <calculatedColumnFormula>IFERROR(MID(MID(A2,FIND(" failsafe-timeout ",A2)+18,50),1,FIND(" ",MID(A2,FIND(" failsafe-timeout ",A2)+18,50))-1),"")</calculatedColumnFormula>
    </tableColumn>
    <tableColumn id="6" xr3:uid="{F1DE5169-E077-4494-8310-5B86D03B87E5}" name="INTERFACE" dataDxfId="316">
      <calculatedColumnFormula>IFERROR(MID(MID(A2,FIND(" interfaces {",A2)+14,50),1,FIND("} }",MID(A2,FIND(" interfaces {",A2)+14,50))),"")</calculatedColumnFormula>
    </tableColumn>
    <tableColumn id="7" xr3:uid="{34321257-295E-40D3-8793-282AF2AF9D55}" name="TAG" dataDxfId="315">
      <calculatedColumnFormula>IFERROR(MID(F2,FIND(" tagged ",F2)+1,6),"untagged")</calculatedColumnFormula>
    </tableColumn>
    <tableColumn id="8" xr3:uid="{8A62EA7C-756C-4779-B8D4-6646F160C994}" name="VLAN ID" dataDxfId="314">
      <calculatedColumnFormula>MID(MID(A2,FIND(" tag ",A2)+5,50),1,FIND("}",MID(A2,FIND(" tag ",A2)+5,50))-1)</calculatedColumnFormula>
    </tableColumn>
  </tableColumns>
  <tableStyleInfo name="TableStyleLight9" showFirstColumn="0" showLastColumn="0"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2E43544-8F22-400D-A54C-51F4B988FB03}" name="SelfIP" displayName="SelfIP" ref="A1:F2" totalsRowShown="0" headerRowDxfId="313" dataDxfId="312">
  <tableColumns count="6">
    <tableColumn id="1" xr3:uid="{F8F7975F-D554-4D5C-B300-C2A3BA0A03A6}" name="PASTE ONE LINE CONFIG HERE" dataDxfId="311"/>
    <tableColumn id="2" xr3:uid="{BD26D1EF-74FF-43AF-9DFB-A8F1BFFE349D}" name="SELF IP NAME" dataDxfId="310">
      <calculatedColumnFormula>LEFT(SUBSTITUTE(A2,"net self /Common/",""),FIND(" ",SUBSTITUTE(A2,"net self /Common/",""))-1)</calculatedColumnFormula>
    </tableColumn>
    <tableColumn id="3" xr3:uid="{1A4DD43B-B692-43D6-B406-8A326D7023DA}" name="SELF IP ADDRESS/CIDR" dataDxfId="309">
      <calculatedColumnFormula>MID(MID(A2,FIND("{ address ",A2,1)+10,100),1,FIND(" ",MID(A2,FIND("{ address ",A2,1)+10,100))-1)</calculatedColumnFormula>
    </tableColumn>
    <tableColumn id="4" xr3:uid="{C141D781-56A0-4626-A385-0FE8A2DAAD3A}" name="ALLOW SERVICE" dataDxfId="308">
      <calculatedColumnFormula>IFERROR(MID(MID(A2,FIND("allow-service ",A2)+14,200),1,FIND(" traffic-group ",MID(A2,FIND("allow-service ",A2)+14,200))-1),"none")</calculatedColumnFormula>
    </tableColumn>
    <tableColumn id="5" xr3:uid="{EC8B8737-ADC8-43A0-A887-90EAE21776C4}" name="TRAFFIC GROUP" dataDxfId="307">
      <calculatedColumnFormula>MID(MID(A2,FIND("traffic-group /",A2)+22,200),1,FIND(" ",MID(A2,FIND("traffic-group /",A2)+22,200))-1)</calculatedColumnFormula>
    </tableColumn>
    <tableColumn id="6" xr3:uid="{43626B54-E6C3-4E73-B127-2A3C806B9F46}" name="VLAN" dataDxfId="306">
      <calculatedColumnFormula>SUBSTITUTE(MID(A2,FIND("vlan /Common",A2)+13,200),"}","")</calculatedColumnFormula>
    </tableColumn>
  </tableColumns>
  <tableStyleInfo name="TableStyleLight9" showFirstColumn="0" showLastColumn="0"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34DC2F8-48AF-4AAC-9079-099CE657E2B3}" name="Route" displayName="Route" ref="A1:E2" totalsRowShown="0" headerRowDxfId="305" dataDxfId="304">
  <tableColumns count="5">
    <tableColumn id="1" xr3:uid="{EA9CCF8A-D825-4B7B-9A0E-2098E16AEF91}" name="PASTE ONE LINE CONFIG HERE" dataDxfId="303"/>
    <tableColumn id="6" xr3:uid="{C2FCA032-FE09-4495-90D3-8C85C438C087}" name="Replace last } with &quot; }&quot;" dataDxfId="302">
      <calculatedColumnFormula>LEFT(A2,LEN(A2)-1)&amp;" }"</calculatedColumnFormula>
    </tableColumn>
    <tableColumn id="2" xr3:uid="{DCADACB8-F853-471C-961C-FD858C923FF1}" name="NAME" dataDxfId="301">
      <calculatedColumnFormula>MID(A2,FIND("net route /",A2)+11,FIND(" ",A2,FIND("net route /",A2)+11)-FIND("net route /",A2)-11)</calculatedColumnFormula>
    </tableColumn>
    <tableColumn id="3" xr3:uid="{EC15BD1F-B5B1-4493-9C93-BE074FA0070F}" name="GATEWAY IP" dataDxfId="300">
      <calculatedColumnFormula>MID(A2,FIND(" gw ",A2)+4,FIND(" ",A2,FIND(" gw ",A2)+4)-FIND(" gw ",A2)-4)</calculatedColumnFormula>
    </tableColumn>
    <tableColumn id="5" xr3:uid="{E34F326C-19ED-47C6-B0D9-B318700F38A9}" name="NETWORK" dataDxfId="299">
      <calculatedColumnFormula>MID(B2,FIND(" network ",B2)+9,FIND(" ",B2,FIND(" network ",B2)+9)-FIND(" network ",B2)-9)</calculatedColumnFormula>
    </tableColumn>
  </tableColumns>
  <tableStyleInfo name="TableStyleLight9" showFirstColumn="0" showLastColumn="0" showRowStripes="1" showColumnStripes="1"/>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11EAC6-D77F-4E94-8F14-B39753563E5D}" name="DefaultProfile" displayName="DefaultProfile" ref="A1:C41" totalsRowShown="0" headerRowDxfId="298" dataDxfId="297">
  <tableColumns count="3">
    <tableColumn id="1" xr3:uid="{E19DDFDB-B202-4FFF-ADA0-8036D3EDB116}" name="PROFILE NAME" dataDxfId="296"/>
    <tableColumn id="2" xr3:uid="{53A10A97-2110-4A43-9AC3-64FE68F3B628}" name="TYPE" dataDxfId="295"/>
    <tableColumn id="3" xr3:uid="{CC019CDA-6DAB-4717-9C11-BD5CDC0D3C4D}" name="REMARKS" dataDxfId="294"/>
  </tableColumns>
  <tableStyleInfo name="TableStyleLight9" showFirstColumn="0" showLastColumn="0" showRowStripes="1" showColumnStripes="1"/>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8C540588-DB5B-43D0-A3ED-0FCF0DB89754}" name="DefaultProfile60" displayName="DefaultProfile60" ref="A1:C132" totalsRowShown="0" headerRowDxfId="293" dataDxfId="292">
  <tableColumns count="3">
    <tableColumn id="1" xr3:uid="{77C062B0-539B-4DFA-9C8D-AC15223709C6}" name="PASTE ONE LINE CONFIG HERE" dataDxfId="291"/>
    <tableColumn id="2" xr3:uid="{F49ECA2F-1EF8-402C-B940-3FACA37E9EA3}" name="TYPE" dataDxfId="290">
      <calculatedColumnFormula>MID(A2,FIND("ltm profile ",A2)+12,FIND(" ",A2,FIND("ltm profile ",A2)+12)-FIND("ltm profile ",A2)-12)</calculatedColumnFormula>
    </tableColumn>
    <tableColumn id="3" xr3:uid="{477144DB-213B-44A9-82D8-F9DF34B1FE7D}" name="PROFILE NAME" dataDxfId="289">
      <calculatedColumnFormula array="1">INDEX(_xlfn.TEXTSPLIT(A2, " "), 4)</calculatedColumnFormula>
    </tableColumn>
  </tableColumns>
  <tableStyleInfo name="TableStyleLight9" showFirstColumn="0" showLastColumn="0" showRowStripes="1" showColumnStripes="1"/>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4282CC-59AF-4C6D-8589-DAE6A0231C23}" name="Profile" displayName="Profile" ref="A1:C2" totalsRowShown="0" headerRowDxfId="288" dataDxfId="287">
  <tableColumns count="3">
    <tableColumn id="1" xr3:uid="{E0C2AAFF-B0F9-4A0B-B2AA-59496EDBB77E}" name="PASTE ONE LINE CONFIG HERE" dataDxfId="286"/>
    <tableColumn id="2" xr3:uid="{5789B036-8A0B-42F8-925E-AD3559C09407}" name="NAME" dataDxfId="285">
      <calculatedColumnFormula array="1">_xlfn.IFS(C2="client-ssl",MID(A2,FIND("/",A2),FIND(" ",A2,FIND("/",A2))-FIND("/",A2))&amp;" { context clientside }",C2="server-ssl",MID(A2,FIND("/",A2),FIND(" ",A2,FIND("/",A2))-FIND("/",A2))&amp;" { context serverside }",TRUE,MID(A2,FIND("/",A2),FIND(" ",A2,FIND("/",A2))-FIND("/",A2)))</calculatedColumnFormula>
    </tableColumn>
    <tableColumn id="3" xr3:uid="{7E096CAD-4AEB-4A6E-B539-FB1BCE65DC97}" name="PROFILE" dataDxfId="284">
      <calculatedColumnFormula>MID(MID(A2,FIND("profile ",A2)+8,100),1,FIND(" ",MID(A2,FIND("profile ",A2)+8,100))-1)</calculatedColumnFormula>
    </tableColumn>
  </tableColumns>
  <tableStyleInfo name="TableStyleLight9" showFirstColumn="0" showLastColumn="0" showRowStripes="1" showColumnStripes="1"/>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A0DB699-8EA9-4479-B7F2-3B56705ABC97}" name="Monitor" displayName="Monitor" ref="A1:F2" totalsRowShown="0" headerRowDxfId="283" dataDxfId="282">
  <tableColumns count="6">
    <tableColumn id="1" xr3:uid="{0350FC4C-81CF-42CC-8EBE-4232D4983DF8}" name="PASTE ONE LINE CONFIG HERE" dataDxfId="281"/>
    <tableColumn id="2" xr3:uid="{8D4712A1-2A69-4BFB-881B-5B29EE9367D0}" name="PARTITION" dataDxfId="280">
      <calculatedColumnFormula>MID(MID(A2,FIND("/",A2),100),1,FIND("/",MID(A2,FIND("/",A2),100),2))</calculatedColumnFormula>
    </tableColumn>
    <tableColumn id="3" xr3:uid="{DE636867-8B15-4D24-BFBC-D193B4F329F1}" name="MONITOR NAME" dataDxfId="279">
      <calculatedColumnFormula>MID(A2,FIND("/",A2),FIND(" ",A2,FIND("/",A2))-FIND("/",A2))</calculatedColumnFormula>
    </tableColumn>
    <tableColumn id="4" xr3:uid="{261387F0-B73F-41B6-97F3-74415359BE30}" name="TYPE" dataDxfId="278">
      <calculatedColumnFormula>MID(A2,FIND("monitor ",A2)+8,FIND(" ",A2,FIND("monitor ",A2)+8)-FIND("monitor ",A2)-8)</calculatedColumnFormula>
    </tableColumn>
    <tableColumn id="5" xr3:uid="{281A4F26-87C0-4D53-B828-8D81665504E8}" name="SEND STRING" dataDxfId="277">
      <calculatedColumnFormula>IF(OR(D2="http",D2="https"),MID(MID(A2,FIND(" send ",A2)+7,1000),1,FIND("""",MID(A2,FIND(" send ",A2)+7,1000))-1),"")</calculatedColumnFormula>
    </tableColumn>
    <tableColumn id="6" xr3:uid="{78B2074A-2FB3-494E-B6CA-540CD0D42FA2}" name="RECEIVE STRING" dataDxfId="276">
      <calculatedColumnFormula>IF(OR(D2="http",D2="https"),MID(SUBSTITUTE(SUBSTITUTE(A2," recv ","@")," recv-disable ","#"),FIND("@",SUBSTITUTE(SUBSTITUTE(A2," recv ","@")," recv-disable ","#") )+1,FIND("#",SUBSTITUTE(SUBSTITUTE(A2," recv ","@")," recv-disable ","#") )-FIND("@",SUBSTITUTE(SUBSTITUTE(A2," recv ","@")," recv-disable ","#") )-1),"")</calculatedColumnFormula>
    </tableColumn>
  </tableColumns>
  <tableStyleInfo name="TableStyleLight9" showFirstColumn="0" showLastColumn="0" showRowStripes="1" showColumnStripes="1"/>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D9010A-2D14-4AD5-931A-3AFD06A67851}" name="Node" displayName="Node" ref="A1:D2" totalsRowShown="0" headerRowDxfId="275" dataDxfId="274">
  <tableColumns count="4">
    <tableColumn id="1" xr3:uid="{906857AD-0065-48C6-AECB-81594B88323C}" name="PASTE ONE LINE CONFIG HERE" dataDxfId="273"/>
    <tableColumn id="17" xr3:uid="{0F25101F-7F73-4B3C-8805-1DAEBB5F5C0C}" name="Replace last } with &quot; }&quot;" dataDxfId="272">
      <calculatedColumnFormula>LEFT(A2,LEN(A2)-1)&amp;" }"</calculatedColumnFormula>
    </tableColumn>
    <tableColumn id="2" xr3:uid="{7C4C8F29-CDEB-459D-9981-AA5903F73EE2}" name="NDOE NAME" dataDxfId="271">
      <calculatedColumnFormula>MID(A2,FIND("node /",A2)+5,FIND(" ",A2,FIND("node /",A2)+5)-FIND("node /",A2)-5)</calculatedColumnFormula>
    </tableColumn>
    <tableColumn id="4" xr3:uid="{5FCA1E9E-5A09-47A9-9082-50F7046C595B}" name="ADDRESS" dataDxfId="270">
      <calculatedColumnFormula>MID(B2,FIND("address ",B2)+8,FIND(" ",B2,FIND("address ",B2)+8)-FIND("address ",B2)-8)</calculatedColumnFormula>
    </tableColumn>
  </tableColumns>
  <tableStyleInfo name="TableStyleLight9" showFirstColumn="0" showLastColumn="0" showRowStripes="1" showColumnStripes="1"/>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DCFBE1-C926-498F-967C-52657D74B403}" name="Pool" displayName="Pool" ref="A1:R2" totalsRowShown="0" headerRowDxfId="269" dataDxfId="268">
  <tableColumns count="18">
    <tableColumn id="1" xr3:uid="{8B404C44-837F-4BC4-9EE5-E27643DCC093}" name="PASTE ONE LINE CONFIG HERE" dataDxfId="267"/>
    <tableColumn id="17" xr3:uid="{3EE39C97-C4CA-410E-85D7-D3AE9D956D0C}" name="Replace last } with &quot; }&quot;" dataDxfId="266">
      <calculatedColumnFormula>LEFT(A2,LEN(A2)-1)&amp;" }"</calculatedColumnFormula>
    </tableColumn>
    <tableColumn id="2" xr3:uid="{6F0448D1-E59A-4B63-9618-BFADA3FE76A0}" name="POOL NAME" dataDxfId="265">
      <calculatedColumnFormula>MID(A2,FIND("pool /",A2)+5,FIND(" ",A2,FIND("pool /",A2)+5)-FIND("pool /",A2)-5)</calculatedColumnFormula>
    </tableColumn>
    <tableColumn id="3" xr3:uid="{F259B69E-781B-4BE7-BD15-46ED3F0A5C73}" name="LOAD BALANCING MODE" dataDxfId="264">
      <calculatedColumnFormula>IFERROR(MID(A2,FIND("load-balancing-mode ",A2)+20,FIND(" ",A2,FIND("load-balancing-mode ",A2)+20)-FIND("load-balancing-mode ",A2)-20),"round-robin")</calculatedColumnFormula>
    </tableColumn>
    <tableColumn id="4" xr3:uid="{920606EE-0789-4509-A394-385CEA57918B}" name="MONITOR" dataDxfId="263">
      <calculatedColumnFormula>IF(MID(B2,FIND("monitor ",B2)+8,FIND(" ",B2,FIND("monitor ",B2)+8)-FIND("monitor ",B2)-8)="min",MID(A2,FIND("monitor ",A2)+8,FIND(" }",A2,FIND("monitor ",A2)+8)-FIND("monitor ",A2)-6),MID(B2,FIND("monitor ",B2)+8,FIND(" ",B2,FIND("monitor ",B2)+8)-FIND("monitor ",B2)-8))</calculatedColumnFormula>
    </tableColumn>
    <tableColumn id="18" xr3:uid="{FF8DF1BD-C8B1-4D41-BFE3-64E900D757A1}" name="Column1" dataDxfId="262">
      <calculatedColumnFormula>FIND("monitor min",A2)</calculatedColumnFormula>
    </tableColumn>
    <tableColumn id="5" xr3:uid="{F547D285-E8B9-404C-B807-A4CD8FFD3703}" name="POOL MEMBERS" dataDxfId="261">
      <calculatedColumnFormula>MID(A2,FIND("members ",A2)+10,FIND("} }",A2,FIND("members ",A2)+10)-FIND("members ",A2)-8)</calculatedColumnFormula>
    </tableColumn>
    <tableColumn id="6" xr3:uid="{98A9BE54-97EE-4C51-A90E-982FB6FFF918}" name="POOL MEMBER COUNT" dataDxfId="260">
      <calculatedColumnFormula>(LEN(G2)-LEN(SUBSTITUTE(G2,":","")))</calculatedColumnFormula>
    </tableColumn>
    <tableColumn id="7" xr3:uid="{9F00A354-A203-4EB7-BBBF-253232AC03F9}" name="1" dataDxfId="259">
      <calculatedColumnFormula>IFERROR(MID(SUBSTITUTE($G2,"/","@/",I$1),FIND("@/",SUBSTITUTE($G2,"/","@/",I$1))+1,FIND("}",SUBSTITUTE($G2,"/","@/",I$1),FIND("@/",SUBSTITUTE($G2,"/","@/",I$1)))-FIND("@/",SUBSTITUTE($G2,"/","@/",I$1))),"")</calculatedColumnFormula>
    </tableColumn>
    <tableColumn id="8" xr3:uid="{34C5D125-4DE7-4DD7-8500-C98280878FEE}" name="3" dataDxfId="258">
      <calculatedColumnFormula>IFERROR(MID(SUBSTITUTE($G2,"/","@/",J$1),FIND("@/",SUBSTITUTE($G2,"/","@/",J$1))+1,FIND("}",SUBSTITUTE($G2,"/","@/",J$1),FIND("@/",SUBSTITUTE($G2,"/","@/",J$1)))-FIND("@/",SUBSTITUTE($G2,"/","@/",J$1))),"")</calculatedColumnFormula>
    </tableColumn>
    <tableColumn id="9" xr3:uid="{22BD35FE-4C62-40C0-B5E3-49BD315F163C}" name="5" dataDxfId="257">
      <calculatedColumnFormula>IFERROR(MID(SUBSTITUTE($G2,"/","@/",K$1),FIND("@/",SUBSTITUTE($G2,"/","@/",K$1))+1,FIND("}",SUBSTITUTE($G2,"/","@/",K$1),FIND("@/",SUBSTITUTE($G2,"/","@/",K$1)))-FIND("@/",SUBSTITUTE($G2,"/","@/",K$1))),"")</calculatedColumnFormula>
    </tableColumn>
    <tableColumn id="10" xr3:uid="{48AE03B6-72A2-484F-8A87-370A77C8E27A}" name="7" dataDxfId="256">
      <calculatedColumnFormula>IFERROR(MID(SUBSTITUTE($G2,"/","@/",L$1),FIND("@/",SUBSTITUTE($G2,"/","@/",L$1))+1,FIND("}",SUBSTITUTE($G2,"/","@/",L$1),FIND("@/",SUBSTITUTE($G2,"/","@/",L$1)))-FIND("@/",SUBSTITUTE($G2,"/","@/",L$1))),"")</calculatedColumnFormula>
    </tableColumn>
    <tableColumn id="11" xr3:uid="{C4E5095D-1D8A-4613-9913-977C8F639F5C}" name="9" dataDxfId="255">
      <calculatedColumnFormula>IFERROR(MID(SUBSTITUTE($G2,"/","@/",M$1),FIND("@/",SUBSTITUTE($G2,"/","@/",M$1))+1,FIND("}",SUBSTITUTE($G2,"/","@/",M$1),FIND("@/",SUBSTITUTE($G2,"/","@/",M$1)))-FIND("@/",SUBSTITUTE($G2,"/","@/",M$1))),"")</calculatedColumnFormula>
    </tableColumn>
    <tableColumn id="12" xr3:uid="{8AF46D08-AAD4-4C2E-B3D1-442D7AC316EC}" name="11" dataDxfId="254">
      <calculatedColumnFormula>IFERROR(MID(SUBSTITUTE($G2,"/","@/",N$1),FIND("@/",SUBSTITUTE($G2,"/","@/",N$1))+1,FIND("}",SUBSTITUTE($G2,"/","@/",N$1),FIND("@/",SUBSTITUTE($G2,"/","@/",N$1)))-FIND("@/",SUBSTITUTE($G2,"/","@/",N$1))),"")</calculatedColumnFormula>
    </tableColumn>
    <tableColumn id="13" xr3:uid="{70C705E8-65FC-43F4-B4CC-8927D2AFC9A0}" name="13" dataDxfId="253">
      <calculatedColumnFormula>IFERROR(MID(SUBSTITUTE($G2,"/","@/",O$1),FIND("@/",SUBSTITUTE($G2,"/","@/",O$1))+1,FIND("}",SUBSTITUTE($G2,"/","@/",O$1),FIND("@/",SUBSTITUTE($G2,"/","@/",O$1)))-FIND("@/",SUBSTITUTE($G2,"/","@/",O$1))),"")</calculatedColumnFormula>
    </tableColumn>
    <tableColumn id="14" xr3:uid="{18754E30-1888-436B-B61B-FBB28D0951DE}" name="15" dataDxfId="252">
      <calculatedColumnFormula>IFERROR(MID(SUBSTITUTE($G2,"/","@/",P$1),FIND("@/",SUBSTITUTE($G2,"/","@/",P$1))+1,FIND("}",SUBSTITUTE($G2,"/","@/",P$1),FIND("@/",SUBSTITUTE($G2,"/","@/",P$1)))-FIND("@/",SUBSTITUTE($G2,"/","@/",P$1))),"")</calculatedColumnFormula>
    </tableColumn>
    <tableColumn id="15" xr3:uid="{FC7A8D6A-8DD2-4E33-AD42-5A5AEA43EE3C}" name="17" dataDxfId="251">
      <calculatedColumnFormula>IFERROR(MID(SUBSTITUTE($G2,"/","@/",Q$1),FIND("@/",SUBSTITUTE($G2,"/","@/",Q$1))+1,FIND("}",SUBSTITUTE($G2,"/","@/",Q$1),FIND("@/",SUBSTITUTE($G2,"/","@/",Q$1)))-FIND("@/",SUBSTITUTE($G2,"/","@/",Q$1))),"")</calculatedColumnFormula>
    </tableColumn>
    <tableColumn id="16" xr3:uid="{7E9A978C-DC81-4EC8-A61B-48A78EAF0E9B}" name="19" dataDxfId="250">
      <calculatedColumnFormula>IFERROR(MID(SUBSTITUTE($G2,"/","@/",R$1),FIND("@/",SUBSTITUTE($G2,"/","@/",R$1))+1,FIND("}",SUBSTITUTE($G2,"/","@/",R$1),FIND("@/",SUBSTITUTE($G2,"/","@/",R$1)))-FIND("@/",SUBSTITUTE($G2,"/","@/",R$1))),"")</calculatedColumnFormula>
    </tableColumn>
  </tableColumns>
  <tableStyleInfo name="TableStyleLight9" showFirstColumn="0" showLastColumn="0" showRowStripes="1" showColumnStripes="1"/>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1EE5AA-BB8C-4DB8-8B29-8B2CFDCEAD2C}" name="Policy" displayName="Policy" ref="A1:B2" totalsRowShown="0" headerRowDxfId="249" dataDxfId="248">
  <tableColumns count="2">
    <tableColumn id="1" xr3:uid="{94B9EB01-4C71-4543-9F78-73839B6A79DE}" name="PASTE ONE LINE CONFIG HERE" dataDxfId="247"/>
    <tableColumn id="2" xr3:uid="{FDC76A6F-9811-4F5D-A37A-0116BDD68421}" name="NAME" dataDxfId="246">
      <calculatedColumnFormula>MID(A2,FIND("policy ",A2)+7,FIND(" ",A2,FIND("policy ",A2)+7)-FIND("policy ",A2)-7)</calculatedColumnFormula>
    </tableColumn>
  </tableColumns>
  <tableStyleInfo name="TableStyleLight9" showFirstColumn="0" showLastColumn="0" showRowStripes="1" showColumnStripes="1"/>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589C52F-15F8-44A6-B729-EE7933297864}" name="SNAT" displayName="SNAT" ref="A1:O2" totalsRowShown="0" headerRowDxfId="245" dataDxfId="244">
  <tableColumns count="15">
    <tableColumn id="1" xr3:uid="{53AE0773-1952-4570-98DF-03686EB0A643}" name="PASTE ONE LINE CONFIG HERE" dataDxfId="243"/>
    <tableColumn id="17" xr3:uid="{A9A2B9CA-D1F0-4E42-B977-07B27199C2E9}" name="Replace last } with &quot; }&quot;" dataDxfId="242">
      <calculatedColumnFormula>LEFT(A2,LEN(A2)-1)&amp;" }"</calculatedColumnFormula>
    </tableColumn>
    <tableColumn id="2" xr3:uid="{70104689-CEC0-463D-A840-3DB7DFD8D2CF}" name="SNATPOOL NAME" dataDxfId="241">
      <calculatedColumnFormula>MID(A2,FIND("pool /",A2)+5,FIND(" ",A2,FIND("pool /",A2)+5)-FIND("pool /",A2)-5)</calculatedColumnFormula>
    </tableColumn>
    <tableColumn id="5" xr3:uid="{49D634D1-42F3-4BEC-B50E-D4F4EAEFD0C2}" name="POOL MEMBERS" dataDxfId="240">
      <calculatedColumnFormula>MID(B2,FIND("members ",B2)+10,FIND("} }",B2,FIND("members ",B2)+10)-FIND("members ",B2)-8)</calculatedColumnFormula>
    </tableColumn>
    <tableColumn id="6" xr3:uid="{E3B72A54-8534-465A-89C4-FE02FD72EF7C}" name="POOL MEMBER COUNT" dataDxfId="239">
      <calculatedColumnFormula>(LEN(D2)-LEN(SUBSTITUTE(D2,".","")))/3</calculatedColumnFormula>
    </tableColumn>
    <tableColumn id="7" xr3:uid="{3707FA58-A84C-443A-8978-872C016EA726}" name="1" dataDxfId="238">
      <calculatedColumnFormula>IFERROR(MID(SUBSTITUTE($D2,"/","@/",F$1),FIND("@/",SUBSTITUTE($D2,"/","@/",F$1))+1,FIND("}",SUBSTITUTE($D2,"/","@/",F$1),FIND("@/",SUBSTITUTE($D2,"/","@/",F$1)))-FIND("@/",SUBSTITUTE($D2,"/","@/",F$1))),"")</calculatedColumnFormula>
    </tableColumn>
    <tableColumn id="8" xr3:uid="{BE9789F9-D789-4D76-9B52-9C8877680A20}" name="3" dataDxfId="237">
      <calculatedColumnFormula>IFERROR(MID(SUBSTITUTE($D2,"/","@/",G$1),FIND("@/",SUBSTITUTE($D2,"/","@/",G$1))+1,FIND("}",SUBSTITUTE($D2,"/","@/",G$1),FIND("@/",SUBSTITUTE($D2,"/","@/",G$1)))-FIND("@/",SUBSTITUTE($D2,"/","@/",G$1))),"")</calculatedColumnFormula>
    </tableColumn>
    <tableColumn id="9" xr3:uid="{B7FD4790-2586-4EB7-A45E-41391151D815}" name="5" dataDxfId="236">
      <calculatedColumnFormula>IFERROR(MID(SUBSTITUTE($D2,"/","@/",H$1),FIND("@/",SUBSTITUTE($D2,"/","@/",H$1))+1,FIND("}",SUBSTITUTE($D2,"/","@/",H$1),FIND("@/",SUBSTITUTE($D2,"/","@/",H$1)))-FIND("@/",SUBSTITUTE($D2,"/","@/",H$1))),"")</calculatedColumnFormula>
    </tableColumn>
    <tableColumn id="10" xr3:uid="{4A2EEEC0-591C-400B-9987-2C6F468E66DF}" name="7" dataDxfId="235">
      <calculatedColumnFormula>IFERROR(MID(SUBSTITUTE($D2,"/","@/",I$1),FIND("@/",SUBSTITUTE($D2,"/","@/",I$1))+1,FIND("}",SUBSTITUTE($D2,"/","@/",I$1),FIND("@/",SUBSTITUTE($D2,"/","@/",I$1)))-FIND("@/",SUBSTITUTE($D2,"/","@/",I$1))),"")</calculatedColumnFormula>
    </tableColumn>
    <tableColumn id="11" xr3:uid="{12368381-13F4-4C10-8D04-C9E951FB7549}" name="9" dataDxfId="234">
      <calculatedColumnFormula>IFERROR(MID(SUBSTITUTE($D2,"/","@/",J$1),FIND("@/",SUBSTITUTE($D2,"/","@/",J$1))+1,FIND("}",SUBSTITUTE($D2,"/","@/",J$1),FIND("@/",SUBSTITUTE($D2,"/","@/",J$1)))-FIND("@/",SUBSTITUTE($D2,"/","@/",J$1))),"")</calculatedColumnFormula>
    </tableColumn>
    <tableColumn id="12" xr3:uid="{15BDFC51-F8AA-4422-986C-762B6287719B}" name="11" dataDxfId="233">
      <calculatedColumnFormula>IFERROR(MID(SUBSTITUTE($D2,"/","@/",K$1),FIND("@/",SUBSTITUTE($D2,"/","@/",K$1))+1,FIND("}",SUBSTITUTE($D2,"/","@/",K$1),FIND("@/",SUBSTITUTE($D2,"/","@/",K$1)))-FIND("@/",SUBSTITUTE($D2,"/","@/",K$1))),"")</calculatedColumnFormula>
    </tableColumn>
    <tableColumn id="13" xr3:uid="{C3FEF66E-963D-46B0-AD88-1A72F0F99E38}" name="13" dataDxfId="232">
      <calculatedColumnFormula>IFERROR(MID(SUBSTITUTE($D2,"/","@/",L$1),FIND("@/",SUBSTITUTE($D2,"/","@/",L$1))+1,FIND("}",SUBSTITUTE($D2,"/","@/",L$1),FIND("@/",SUBSTITUTE($D2,"/","@/",L$1)))-FIND("@/",SUBSTITUTE($D2,"/","@/",L$1))),"")</calculatedColumnFormula>
    </tableColumn>
    <tableColumn id="14" xr3:uid="{A40D8FFC-642C-49B0-B1BC-4BADFC9E1F74}" name="15" dataDxfId="231">
      <calculatedColumnFormula>IFERROR(MID(SUBSTITUTE($D2,"/","@/",M$1),FIND("@/",SUBSTITUTE($D2,"/","@/",M$1))+1,FIND("}",SUBSTITUTE($D2,"/","@/",M$1),FIND("@/",SUBSTITUTE($D2,"/","@/",M$1)))-FIND("@/",SUBSTITUTE($D2,"/","@/",M$1))),"")</calculatedColumnFormula>
    </tableColumn>
    <tableColumn id="15" xr3:uid="{158F37E4-CC54-4BB8-8309-E54A0605CD9C}" name="17" dataDxfId="230">
      <calculatedColumnFormula>IFERROR(MID(SUBSTITUTE($D2,"/","@/",N$1),FIND("@/",SUBSTITUTE($D2,"/","@/",N$1))+1,FIND("}",SUBSTITUTE($D2,"/","@/",N$1),FIND("@/",SUBSTITUTE($D2,"/","@/",N$1)))-FIND("@/",SUBSTITUTE($D2,"/","@/",N$1))),"")</calculatedColumnFormula>
    </tableColumn>
    <tableColumn id="16" xr3:uid="{29FCAAE0-A096-44CC-936C-CE40AC60B734}" name="19" dataDxfId="229">
      <calculatedColumnFormula>IFERROR(MID(SUBSTITUTE($D2,"/","@/",O$1),FIND("@/",SUBSTITUTE($D2,"/","@/",O$1))+1,FIND("}",SUBSTITUTE($D2,"/","@/",O$1),FIND("@/",SUBSTITUTE($D2,"/","@/",O$1)))-FIND("@/",SUBSTITUTE($D2,"/","@/",O$1))),"")</calculatedColumnFormula>
    </tableColumn>
  </tableColumns>
  <tableStyleInfo name="TableStyleLight9" showFirstColumn="0" showLastColumn="0" showRowStripes="1" showColumnStripes="1"/>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480CCCAE-95D8-46C0-B5A4-2311E43C6044}" name="ClientSSL57" displayName="ClientSSL57" ref="A1:C2" totalsRowShown="0" headerRowDxfId="228" dataDxfId="227">
  <tableColumns count="3">
    <tableColumn id="1" xr3:uid="{19EA2243-326A-48DA-97F3-6D239A9E5DF5}" name="PASTE ONE LINE CONFIG HERE" dataDxfId="226"/>
    <tableColumn id="9" xr3:uid="{410A3A67-122D-440A-9B95-D2A8973B2648}" name="Replace last } with &quot; }&quot;" dataDxfId="225">
      <calculatedColumnFormula>LEFT(A2,LEN(A2)-1)&amp;" }"</calculatedColumnFormula>
    </tableColumn>
    <tableColumn id="2" xr3:uid="{EC235D4F-7441-45CB-B2FB-70E2FF2A8118}" name="NAME" dataDxfId="224">
      <calculatedColumnFormula>MID(A2,FIND("/",A2),FIND(" ",A2,FIND("/",A2))-FIND("/",A2))</calculatedColumnFormula>
    </tableColumn>
  </tableColumns>
  <tableStyleInfo name="TableStyleLight9" showFirstColumn="0" showLastColumn="0" showRowStripes="1" showColumnStripes="1"/>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733FEDE-FD7E-4A39-96FC-2D8FF8B239EB}" name="ClientSSL5758" displayName="ClientSSL5758" ref="A1:C2" totalsRowShown="0" headerRowDxfId="223" dataDxfId="222">
  <tableColumns count="3">
    <tableColumn id="1" xr3:uid="{72B672C0-7DB1-42B7-80B8-ABFFBBC498FE}" name="PASTE ONE LINE CONFIG HERE" dataDxfId="221"/>
    <tableColumn id="9" xr3:uid="{77352862-667D-4355-B518-0E90ADAA543A}" name="Replace last } with &quot; }&quot;" dataDxfId="220">
      <calculatedColumnFormula>LEFT(A2,LEN(A2)-1)&amp;" }"</calculatedColumnFormula>
    </tableColumn>
    <tableColumn id="2" xr3:uid="{E702DFDE-7D93-4539-8FD7-5891E9FAD973}" name="NAME" dataDxfId="219">
      <calculatedColumnFormula>MID(A2,FIND("/",A2),FIND(" ",A2,FIND("/",A2))-FIND("/",A2))</calculatedColumnFormula>
    </tableColumn>
  </tableColumns>
  <tableStyleInfo name="TableStyleLight9" showFirstColumn="0" showLastColumn="0" showRowStripes="1" showColumnStripes="1"/>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757AA6-C60E-4C8C-9136-348B103C2009}" name="ClientSSL" displayName="ClientSSL" ref="A1:M2" totalsRowShown="0" headerRowDxfId="218" dataDxfId="217">
  <tableColumns count="13">
    <tableColumn id="1" xr3:uid="{6088F4F2-3804-4D95-88A6-63A7D88C0BD1}" name="PASTE ONE LINE CONFIG HERE" dataDxfId="216"/>
    <tableColumn id="9" xr3:uid="{36EB6380-A9BA-48E0-BB25-2C6BCC384440}" name="Replace last } with &quot; }&quot;" dataDxfId="215">
      <calculatedColumnFormula>LEFT(A2,LEN(A2)-1)&amp;" }"</calculatedColumnFormula>
    </tableColumn>
    <tableColumn id="2" xr3:uid="{8361E149-A910-4DD0-828F-85E4C62ADFDC}" name="NAME" dataDxfId="214">
      <calculatedColumnFormula>MID(A2,FIND("/",A2),FIND(" ",A2,FIND("/",A2))-FIND("/",A2))</calculatedColumnFormula>
    </tableColumn>
    <tableColumn id="3" xr3:uid="{586BF830-E8C5-4D3A-A3D1-02E78D9BE23B}" name="PROFILE" dataDxfId="213">
      <calculatedColumnFormula>MID(A2,FIND("client-ssl ",A2),FIND(" ",A2,FIND("client-ssl ",A2))-FIND("client-ssl ",A2))</calculatedColumnFormula>
    </tableColumn>
    <tableColumn id="6" xr3:uid="{F7D448DA-E5BA-4350-B4BA-AFBF3408BEA4}" name="CERT" dataDxfId="212">
      <calculatedColumnFormula>MID(A2,FIND("cert /",A2)+5,FIND(" ",A2,FIND("cert /",A2)+5)-FIND("cert /",A2)-5)</calculatedColumnFormula>
    </tableColumn>
    <tableColumn id="5" xr3:uid="{4121F442-37C1-4C04-A167-EB14515E1313}" name="KEY" dataDxfId="211">
      <calculatedColumnFormula>MID(B2,FIND("key /",B2)+4,FIND(" ",B2,FIND("key /",B2)+4)-FIND("key /",B2)-4)</calculatedColumnFormula>
    </tableColumn>
    <tableColumn id="8" xr3:uid="{935D34AA-3AF5-4B89-A81F-8B20C33A4C4E}" name="CERT CACHE PATH" dataDxfId="210">
      <calculatedColumnFormula>VLOOKUP(ClientSSL[[#This Row],[CERT]],Cert[[#All],[NAME]:[CACHE PATH]],2,FALSE)</calculatedColumnFormula>
    </tableColumn>
    <tableColumn id="11" xr3:uid="{E6CC2392-A9BE-43D3-8BB9-565C7C957F1D}" name="REMOVE FILE STORE PATH" dataDxfId="209">
      <calculatedColumnFormula>SUBSTITUTE(SUBSTITUTE(ClientSSL[[#This Row],[CERT CACHE PATH]],"/config/filestore/files_d/Common_d/certificate_d/",""),":","_")</calculatedColumnFormula>
    </tableColumn>
    <tableColumn id="12" xr3:uid="{DC712124-076F-4806-9F33-7F4B3D8B5104}" name="SUBJECT" dataDxfId="208">
      <calculatedColumnFormula>_xlfn.XLOOKUP(ClientSSL[[#This Row],[REMOVE FILE STORE PATH]],CertificateDetails[FileName],CertificateDetails[Subject])</calculatedColumnFormula>
    </tableColumn>
    <tableColumn id="13" xr3:uid="{A8890CE7-1D79-44A2-B660-D431EE2E6486}" name="SAN" dataDxfId="207">
      <calculatedColumnFormula>_xlfn.XLOOKUP(ClientSSL[[#This Row],[REMOVE FILE STORE PATH]],CertificateDetails[FileName],CertificateDetails[SAN without CHAR(10)])</calculatedColumnFormula>
    </tableColumn>
    <tableColumn id="7" xr3:uid="{E5EFBC9F-6EFE-426D-A189-CEE13E5E3908}" name="KEY CACHE PATH" dataDxfId="206"/>
    <tableColumn id="4" xr3:uid="{FA4ADEB1-B744-40E8-AE4C-5B458854E1BA}" name="CIPHERS" dataDxfId="205">
      <calculatedColumnFormula>MID(A2,FIND("ciphers ",A2)+8,FIND(" ",A2,FIND("ciphers ",A2)+8)-FIND("ciphers ",A2)-8)</calculatedColumnFormula>
    </tableColumn>
    <tableColumn id="14" xr3:uid="{F2F1F5BA-BEBC-4A63-A272-5C4A1E9532E1}" name="CIPHER GROUP" dataDxfId="204">
      <calculatedColumnFormula>MID(A2,FIND("cipher-group ",A2)+13,FIND(" ",A2,FIND("cipher-group ",A2)+13)-FIND("cipher-group ",A2)-13)</calculatedColumnFormula>
    </tableColumn>
  </tableColumns>
  <tableStyleInfo name="TableStyleLight9" showFirstColumn="0" showLastColumn="0" showRowStripes="1" showColumnStripes="1"/>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C08C96F-D7B2-4204-9B8B-7BF237FEDBA8}" name="ServerSSL" displayName="ServerSSL" ref="A1:M2" totalsRowShown="0" headerRowDxfId="203" dataDxfId="202">
  <tableColumns count="13">
    <tableColumn id="1" xr3:uid="{693B9FBA-DB4B-4313-86EC-AB402F8569B2}" name="PASTE ONE LINE CONFIG HERE" dataDxfId="201"/>
    <tableColumn id="9" xr3:uid="{D5F99263-BCDB-4E30-AFE8-F97DC286098D}" name="Replace last } with &quot; }&quot;" dataDxfId="200">
      <calculatedColumnFormula>LEFT(A2,LEN(A2)-1)&amp;" }"</calculatedColumnFormula>
    </tableColumn>
    <tableColumn id="2" xr3:uid="{26AEF961-6434-4A26-AB94-51E571B05D6B}" name="NAME" dataDxfId="199">
      <calculatedColumnFormula>MID(A2,FIND("/",A2),FIND(" ",A2,FIND("/",A2))-FIND("/",A2))</calculatedColumnFormula>
    </tableColumn>
    <tableColumn id="3" xr3:uid="{D08E3748-77E9-4413-9EE7-0ECA67EE8F76}" name="PROFILE" dataDxfId="198">
      <calculatedColumnFormula>MID(A2,FIND("client-ssl ",A2),FIND(" ",A2,FIND("client-ssl ",A2))-FIND("client-ssl ",A2))</calculatedColumnFormula>
    </tableColumn>
    <tableColumn id="6" xr3:uid="{D777DF3F-0038-4FCE-9A38-9FB42F04944C}" name="CERT" dataDxfId="197">
      <calculatedColumnFormula>MID(A2,FIND("cert /",A2)+5,FIND(" ",A2,FIND("cert /",A2)+5)-FIND("cert /",A2)-5)</calculatedColumnFormula>
    </tableColumn>
    <tableColumn id="5" xr3:uid="{3F7628D4-1911-4568-8A93-AD73287F3A69}" name="KEY" dataDxfId="196">
      <calculatedColumnFormula>MID(B2,FIND("key /",B2)+4,FIND(" ",B2,FIND("key /",B2)+4)-FIND("key /",B2)-4)</calculatedColumnFormula>
    </tableColumn>
    <tableColumn id="8" xr3:uid="{7EE7F348-7163-425A-981C-30E50A1C4DA8}" name="CERT CACHE PATH" dataDxfId="195">
      <calculatedColumnFormula>VLOOKUP(ServerSSL[[#This Row],[CERT]],Cert[[#All],[NAME]:[CACHE PATH]],2,FALSE)</calculatedColumnFormula>
    </tableColumn>
    <tableColumn id="11" xr3:uid="{8379EAA3-C987-463D-9E93-CDAE7CC2C04E}" name="REMOVE FILE STORE PATH" dataDxfId="194">
      <calculatedColumnFormula>SUBSTITUTE(SUBSTITUTE(ServerSSL[[#This Row],[CERT CACHE PATH]],"/config/filestore/files_d/Common_d/certificate_d/",""),":","_")</calculatedColumnFormula>
    </tableColumn>
    <tableColumn id="12" xr3:uid="{E5396476-61C2-4023-8A81-558DC5883FC7}" name="SUBJECT" dataDxfId="193">
      <calculatedColumnFormula>_xlfn.XLOOKUP(ServerSSL[[#This Row],[REMOVE FILE STORE PATH]],CertificateDetails[FileName],CertificateDetails[Subject])</calculatedColumnFormula>
    </tableColumn>
    <tableColumn id="13" xr3:uid="{F668DD01-7D74-434B-BECF-AE2CFE555C8A}" name="SAN" dataDxfId="192">
      <calculatedColumnFormula>_xlfn.XLOOKUP(ServerSSL[[#This Row],[REMOVE FILE STORE PATH]],CertificateDetails[FileName],CertificateDetails[SAN])</calculatedColumnFormula>
    </tableColumn>
    <tableColumn id="7" xr3:uid="{77F60DD0-9342-42A1-A133-6E4A1CFC53D9}" name="KEY CACHE PATH" dataDxfId="191"/>
    <tableColumn id="4" xr3:uid="{5E1A3923-2426-422D-B6A1-41FB6D8CE6FE}" name="CIPHERS" dataDxfId="190">
      <calculatedColumnFormula>MID(A2,FIND("ciphers ",A2)+8,FIND(" ",A2,FIND("ciphers ",A2)+8)-FIND("ciphers ",A2)-8)</calculatedColumnFormula>
    </tableColumn>
    <tableColumn id="14" xr3:uid="{267DEC73-7B84-4E59-ABCB-2AB2E2BAD1BE}" name="CIPHER GROUP" dataDxfId="189">
      <calculatedColumnFormula>MID(A2,FIND("cipher-group ",A2)+13,FIND(" ",A2,FIND("cipher-group ",A2)+13)-FIND("cipher-group ",A2)-13)</calculatedColumnFormula>
    </tableColumn>
  </tableColumns>
  <tableStyleInfo name="TableStyleLight9" showFirstColumn="0" showLastColumn="0" showRowStripes="1" showColumnStripes="1"/>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8877D63-6F11-4760-9203-57D2B93A9B41}" name="VirtualServer" displayName="VirtualServer" ref="A1:BD2" totalsRowShown="0" headerRowDxfId="188" dataDxfId="187">
  <autoFilter ref="A1:BD2" xr:uid="{3617418B-9839-44C6-876C-FA86D6702058}"/>
  <sortState xmlns:xlrd2="http://schemas.microsoft.com/office/spreadsheetml/2017/richdata2" ref="A2:BD2">
    <sortCondition ref="C1:C2"/>
  </sortState>
  <tableColumns count="56">
    <tableColumn id="1" xr3:uid="{CE7A9E55-19EA-43BD-BA07-1E877BDA1A21}" name="PASTE ONE LINE CONFIG HERE" dataDxfId="186"/>
    <tableColumn id="2" xr3:uid="{2A415939-7382-4CEE-B60C-D7A37CF5DCB9}" name="PARTITION" dataDxfId="185">
      <calculatedColumnFormula>MID(MID(A2,FIND("/",A2),100),1,FIND("/",MID(A2,FIND("/",A2),100),2))</calculatedColumnFormula>
    </tableColumn>
    <tableColumn id="3" xr3:uid="{DCE9368B-6984-426F-80E2-CCF845276676}" name="VS NAME" dataDxfId="184">
      <calculatedColumnFormula>MID(MID(SUBSTITUTE(A2,"/","@",2),FIND("@",SUBSTITUTE(A2,"/","@",2))+1,1000),1,FIND(" ",MID(SUBSTITUTE(A2,"/","@",2),FIND("@",SUBSTITUTE(A2,"/","@",2))+1,1000))-1)</calculatedColumnFormula>
    </tableColumn>
    <tableColumn id="51" xr3:uid="{4B78150B-B8EA-407A-A3ED-D1AA55DC5540}" name="DESCRIPTION" dataDxfId="183">
      <calculatedColumnFormula>IFERROR(MID(MID(A2,FIND("description",A2)+12,1000),1,FIND("destination",MID(A2,FIND("description",A2)+12,1000))-1),"")</calculatedColumnFormula>
    </tableColumn>
    <tableColumn id="20" xr3:uid="{265A4ACD-DB17-4D0B-B5A0-0576048761B2}" name="LAST MODIFIED TIME" dataDxfId="182">
      <calculatedColumnFormula>IFERROR(MID(A2,FIND(" last-modified-time ",A2)+20,FIND(" ",A2,FIND(" last-modified-time ",A2)+20)-FIND(" last-modified-time ",A2)-20),"")</calculatedColumnFormula>
    </tableColumn>
    <tableColumn id="6" xr3:uid="{6B329C46-C046-48D8-AA5D-CF6AD2503616}" name="SOURCE IP" dataDxfId="181">
      <calculatedColumnFormula>IFERROR(MID(A2,FIND(" source ",A2)+8,FIND(" ",A2,FIND(" source ",A2)+8)-FIND(" source ",A2)-8),"")</calculatedColumnFormula>
    </tableColumn>
    <tableColumn id="24" xr3:uid="{E68FDC72-22F8-48F7-B0E8-8AD63838F39F}" name="VS IP TYPE" dataDxfId="180">
      <calculatedColumnFormula>IF(LEN(H2)-LEN(SUBSTITUTE(H2,":",""))=1,"IPv4","IPv6")</calculatedColumnFormula>
    </tableColumn>
    <tableColumn id="52" xr3:uid="{B8F6D26B-C7E8-418C-9080-3C1591020AE3}" name="VS IP PORT" dataDxfId="179">
      <calculatedColumnFormula>IFERROR(MID(A2,FIND(" destination ",A2)+13,FIND(" ",A2,FIND(" destination ",A2)+13)-FIND(" destination ",A2)-13),"")</calculatedColumnFormula>
    </tableColumn>
    <tableColumn id="7" xr3:uid="{D6CC3ADE-829F-48DC-B784-9ED207843004}" name="VS IP" dataDxfId="178">
      <calculatedColumnFormula>IF(G2="IPv4",LEFT(H2,FIND(":",H2)-1),LEFT(H2,FIND(".",H2)-1))</calculatedColumnFormula>
    </tableColumn>
    <tableColumn id="8" xr3:uid="{2C39BD38-C796-4B37-81E8-6990E5FFF45E}" name="VS PORT" dataDxfId="177">
      <calculatedColumnFormula>IF(G2="IPv4",RIGHT(H2,LEN(H2)-FIND(":",H2)),RIGHT(H2,LEN(H2)-FIND(".",H2)))</calculatedColumnFormula>
    </tableColumn>
    <tableColumn id="54" xr3:uid="{58733DF7-18AF-4CBC-9CD6-341F138B26DA}" name="IP FORWARD PROFILE" dataDxfId="176">
      <calculatedColumnFormula>IFERROR(MID(A2,FIND("ip-forward",A2),10),"")</calculatedColumnFormula>
    </tableColumn>
    <tableColumn id="5" xr3:uid="{E1105C0C-26D8-4ABC-BB61-917AD4FE0677}" name="FASTL4 PROFILE" dataDxfId="175">
      <calculatedColumnFormula>IFERROR(MID(MID(AI2,FIND("fastL4",AI2),100),1,FIND("{ }",MID(AI2,FIND("fastL4",AI2),100))-2),"")</calculatedColumnFormula>
    </tableColumn>
    <tableColumn id="9" xr3:uid="{A469393B-1341-4FC6-97AD-274E62966A19}" name="PROTOCOL" dataDxfId="174">
      <calculatedColumnFormula>IFERROR(MID(MID(MID(A2,FIND("ip-protocol",A2),50),FIND(" ",MID(A2,FIND("ip-protocol",A2),50))+1,10),1,FIND(" ",MID(MID(A2,FIND("ip-protocol",A2),50),FIND(" ",MID(A2,FIND("ip-protocol",A2),50))+1,10))-1),"")</calculatedColumnFormula>
    </tableColumn>
    <tableColumn id="10" xr3:uid="{6DDA1FD3-BE24-445E-8BDB-A22165294129}" name="TCP PROFILE" dataDxfId="173">
      <calculatedColumnFormula>IF(AU2="tcp",AK2,IF(AV2="tcp",AL2,IF(AW2="tcp",AM2,IF(AX2="tcp",AN2,IF(AY2="tcp",AO2,IF(AZ2="tcp",AP2,IF(BA2="tcp",AQ2,IF(BB2="tcp",AR2,IF(BC2="tcp",AS2,IF(BD2="tcp",AT2,""))))))))))</calculatedColumnFormula>
    </tableColumn>
    <tableColumn id="57" xr3:uid="{9B849E03-15D5-4A63-A267-C4E223B3289E}" name="UDP PROFILE" dataDxfId="172">
      <calculatedColumnFormula>IF(AU2="udp",AK2,IF(AV2="udp",AL2,IF(AW2="udp",AM2,IF(AX2="udp",AN2,IF(AY2="udp",AO2,IF(AZ2="udp",AP2,IF(BA2="udp",AQ2,IF(BB2="udp",AR2,IF(BC2="udp",AS2,IF(BD2="udp",AT2,""))))))))))</calculatedColumnFormula>
    </tableColumn>
    <tableColumn id="11" xr3:uid="{9F86D740-BECE-4691-98D7-2B1A44CEDD3A}" name="HTTP PROFILE" dataDxfId="171">
      <calculatedColumnFormula>IF(AU2="http",AK2,IF(AV2="http",AL2,IF(AW2="http",AM2,IF(AX2="http",AN2,IF(AY2="http",AO2,IF(AZ2="http",AP2,IF(BA2="http",AQ2,IF(BB2="http",AR2,IF(BC2="http",AS2,IF(BD2="http",AT2,""))))))))))</calculatedColumnFormula>
    </tableColumn>
    <tableColumn id="63" xr3:uid="{A2D36C8A-F883-4799-9641-26143B0A3A7B}" name="ASM PROFILE" dataDxfId="170">
      <calculatedColumnFormula>IF(AU2="asm",AK2,IF(AV2="asm",AL2,IF(AW2="asm",AM2,IF(AX2="asm",AN2,IF(AY2="asm",AO2,IF(AZ2="asm",AP2,IF(BA2="asm",AQ2,IF(BB2="asm",AR2,IF(BC2="asm",AS2,IF(BD2="asm",AT2,""))))))))))</calculatedColumnFormula>
    </tableColumn>
    <tableColumn id="72" xr3:uid="{0DEF7408-A9B9-4C89-99E1-81D5C149D051}" name="POLICIES" dataDxfId="169">
      <calculatedColumnFormula>IFERROR(MID(A2,FIND(" policies ",A2)+12,FIND("} )",A2,FIND(" policies ",A2)+12)-FIND(" policies ",A2)-12),"")</calculatedColumnFormula>
    </tableColumn>
    <tableColumn id="12" xr3:uid="{BE978304-2829-4B2E-881D-1C478C991F40}" name="SSL TRAFFIC" dataDxfId="168"/>
    <tableColumn id="13" xr3:uid="{4B6EC407-0AE5-4616-8588-965A23B0010D}" name="CLIENT SSL PROFILE" dataDxfId="167">
      <calculatedColumnFormula>IF(AU2="client-ssl",AK2&amp;" ","")&amp;IF(AV2="client-ssl",AL2&amp;" ","")&amp;IF(AW2="client-ssl",AM2&amp;" ","")&amp;IF(AX2="client-ssl",AN2&amp;" ","")&amp;IF(AY2="client-ssl",AO2&amp;" ","")&amp;IF(AZ2="client-ssl",AP2&amp;" ","")&amp;IF(BA2="client-ssl",AQ2&amp;" ","")&amp;IF(BB2="client-ssl",AR2&amp;" ","")&amp;IF(BC2="client-ssl",AS2&amp;" ","")&amp;IF(BD2="client-ssl",AT2&amp;" ","")</calculatedColumnFormula>
    </tableColumn>
    <tableColumn id="55" xr3:uid="{C7CAAAE2-163F-43A9-9F77-41BB89051562}" name="CN &amp; SAN" dataDxfId="166">
      <calculatedColumnFormula array="1">SUBSTITUTE(IF(AT2="client-ssl",_xlfn.XLOOKUP(SUBSTITUTE(AJ2," { context clientside }",""),ClientSSL[NAME],"CN:"&amp;ClientSSL[NAME]&amp;" SAN:"&amp;ClientSSL[SAN]&amp;" ","",0),"")&amp;IF(AU2="client-ssl",_xlfn.XLOOKUP(SUBSTITUTE(AK2," { context clientside }",""),ClientSSL[NAME],"CN:"&amp;ClientSSL[NAME]&amp;" SAN:"&amp;ClientSSL[SAN]&amp;" ","",0),"")&amp;IF(AV2="client-ssl",_xlfn.XLOOKUP(SUBSTITUTE(AL2," { context clientside }",""),ClientSSL[NAME],"CN:"&amp;ClientSSL[NAME]&amp;" SAN:"&amp;ClientSSL[SAN]&amp;" ","",0),"")
&amp;IF(AW2="client-ssl",_xlfn.XLOOKUP(SUBSTITUTE(AM2," { context clientside }",""),ClientSSL[NAME],"CN:"&amp;ClientSSL[NAME]&amp;" SAN:"&amp;ClientSSL[SAN]&amp;" ","",0),"")&amp;IF(AX2="client-ssl",_xlfn.XLOOKUP(SUBSTITUTE(AN2," { context clientside }",""),ClientSSL[NAME],"CN:"&amp;ClientSSL[NAME]&amp;" SAN:"&amp;ClientSSL[SAN]&amp;" ","",0),"")&amp;IF(AY2="client-ssl",_xlfn.XLOOKUP(SUBSTITUTE(AO2," { context clientside }",""),ClientSSL[NAME],"CN:"&amp;ClientSSL[NAME]&amp;" SAN:"&amp;ClientSSL[SAN]&amp;" ","",0),"")
&amp;IF(AZ2="client-ssl",_xlfn.XLOOKUP(SUBSTITUTE(AP2," { context clientside }",""),ClientSSL[NAME],"CN:"&amp;ClientSSL[NAME]&amp;" SAN:"&amp;ClientSSL[SAN]&amp;" ","",0),"")&amp;IF(BA2="client-ssl",_xlfn.XLOOKUP(SUBSTITUTE(AQ2," { context clientside }",""),ClientSSL[NAME],"CN:"&amp;ClientSSL[NAME]&amp;" SAN:"&amp;ClientSSL[SAN]&amp;" ","",0),"")&amp;IF(BB2="client-ssl",_xlfn.XLOOKUP(SUBSTITUTE(AR2," { context clientside }",""),ClientSSL[NAME],"CN:"&amp;ClientSSL[NAME]&amp;" SAN:"&amp;ClientSSL[SAN]&amp;" ","",0),"")
&amp;IF(BC2="client-ssl",_xlfn.XLOOKUP(SUBSTITUTE(AS2," { context clientside }",""),ClientSSL[NAME],"CN:"&amp;ClientSSL[NAME]&amp;" SAN:"&amp;ClientSSL[SAN]&amp;" ","",0),"")," CN:",CHAR(10)&amp;"CN:")</calculatedColumnFormula>
    </tableColumn>
    <tableColumn id="14" xr3:uid="{87B2E614-9DD7-4181-B347-581A36ED6C28}" name="SERVER SSL PROFILE" dataDxfId="165">
      <calculatedColumnFormula>IF(AU2="server-ssl",AK2,IF(AV2="server-ssl",AL2,IF(AW2="server-ssl",AM2,IF(AX2="server-ssl",AN2,IF(AY2="server-ssl",AO2,IF(AZ2="server-ssl",AP2,IF(BA2="server-ssl",AQ2,IF(BB2="server-ssl",AR2,IF(BC2="server-ssl",AS2,IF(BD2="server-ssl",AT2,""))))))))))</calculatedColumnFormula>
    </tableColumn>
    <tableColumn id="15" xr3:uid="{AA419827-B0FE-4701-8E30-AECC65B66850}" name="SNAT" dataDxfId="164">
      <calculatedColumnFormula>MID(A2,FIND("source-address-translation { ",A2)+29,FIND(" }",A2,FIND("source-address-translation { ",A2)+29)-FIND("source-address-translation { ",A2)-29)</calculatedColumnFormula>
    </tableColumn>
    <tableColumn id="4" xr3:uid="{FECA0797-C746-4450-8085-3B5CC7682A5D}" name="SNAT (&lt;v11.6)" dataDxfId="163">
      <calculatedColumnFormula>IFERROR(MID(A2,FIND("snat ",A2)+5,FIND(" ",A2,FIND("snat ",A2)+5)-FIND("snat ",A2)-5),"")</calculatedColumnFormula>
    </tableColumn>
    <tableColumn id="16" xr3:uid="{4610663A-A0B5-4BC6-885E-D6B26AAADE3D}" name="PERSIST" dataDxfId="162">
      <calculatedColumnFormula>IFERROR(MID(MID(MID(MID(A2,FIND("persist",A2),50),FIND("{",MID(A2,FIND("persist",A2),50))+1,100),FIND("n/",MID(MID(A2,FIND("persist",A2),50),FIND("{",MID(A2,FIND("persist",A2),50))+1,100))+2,50),1,FIND(" ",MID(MID(MID(A2,FIND("persist",A2),50),FIND("{",MID(A2,FIND("persist",A2),50))+1,100),FIND("n/",MID(MID(A2,FIND("persist",A2),50),FIND("{",MID(A2,FIND("persist",A2),50))+1,100))+2,50))-1),"")</calculatedColumnFormula>
    </tableColumn>
    <tableColumn id="17" xr3:uid="{713B42C5-E62D-4FE9-8E9D-9DC84B85D7A0}" name="FALLBACK PERSIST" dataDxfId="161">
      <calculatedColumnFormula>IFERROR(MID(MID(MID(A2,FIND("fallback-persistence",A2),50),FIND("n/",MID(A2,FIND("fallback-persistence",A2),50))+2,50),1,FIND(" ",MID(MID(A2,FIND("fallback-persistence",A2),50),FIND("n/",MID(A2,FIND("fallback-persistence",A2),50))+2,50))-1),"")</calculatedColumnFormula>
    </tableColumn>
    <tableColumn id="18" xr3:uid="{3CBFAC1A-86BA-4C52-86D5-10DA134C1896}" name="IRULE" dataDxfId="160">
      <calculatedColumnFormula>IFERROR(MID(MID(A2,FIND("rules {",A2)+8,10000),1,FIND("}",MID(A2,FIND("rules {",A2)+8,10000))-2),"")</calculatedColumnFormula>
    </tableColumn>
    <tableColumn id="47" xr3:uid="{D54DB555-E782-4733-83D4-696C4F2DED79}" name="MONITOR" dataDxfId="159">
      <calculatedColumnFormula>IFERROR(SUBSTITUTE(VLOOKUP(AF2,ltmpool!C:G,3,FALSE),"}","}"&amp;CHAR(10)),"")</calculatedColumnFormula>
    </tableColumn>
    <tableColumn id="49" xr3:uid="{0A3A9203-55BB-4FEE-8C3A-83C68DE99F04}" name="SEND STRING (NO FORMULA YET)" dataDxfId="158"/>
    <tableColumn id="50" xr3:uid="{57FF9673-8D62-4EE2-A7E5-AA927CEC6D57}" name="RECEIVE STRING (NO FORMULA YET)" dataDxfId="157"/>
    <tableColumn id="48" xr3:uid="{2EAEB0D3-D624-4C99-99B3-EE271968C22F}" name="LOAD BALANCING MODE" dataDxfId="156">
      <calculatedColumnFormula>IFERROR(SUBSTITUTE(VLOOKUP(AF2,ltmpool!C:G,2,FALSE),"}","}"&amp;CHAR(10)),"")</calculatedColumnFormula>
    </tableColumn>
    <tableColumn id="19" xr3:uid="{52DA1308-9B73-4689-9C09-DA07427D8FB9}" name="POOL" dataDxfId="155">
      <calculatedColumnFormula>IFERROR(MID(A2,FIND("pool /",A2)+5,FIND(" ",A2,FIND("pool /",A2)+5)-FIND("pool /",A2)-5),"")</calculatedColumnFormula>
    </tableColumn>
    <tableColumn id="21" xr3:uid="{499AECE3-7A47-4C89-9358-513CE89FE840}" name="POOL MEMBER" dataDxfId="154">
      <calculatedColumnFormula>IFERROR(SUBSTITUTE(VLOOKUP(AF2,ltmpool!C:H,5,FALSE),"} /","} "&amp;CHAR(10)&amp;"/"),"")</calculatedColumnFormula>
    </tableColumn>
    <tableColumn id="22" xr3:uid="{292A7576-9264-4883-887D-1F8FBC0B5765}" name="IRULE COUNT" dataDxfId="153">
      <calculatedColumnFormula>(LEN(AA2)-LEN(SUBSTITUTE(AA2,"/","")))/2</calculatedColumnFormula>
    </tableColumn>
    <tableColumn id="25" xr3:uid="{B957F651-EB8B-4D87-88CF-54FD6AB6C3EB}" name="ALL PROFILES" dataDxfId="152">
      <calculatedColumnFormula>MID(MID(A2,FIND("profiles { /",A2)+11,2000),1,FIND("} }",MID(A2,FIND("profiles { /",A2)+11,2000))+1)</calculatedColumnFormula>
    </tableColumn>
    <tableColumn id="26" xr3:uid="{20A41183-6923-4034-80CA-B1E3C70B137B}" name="COUNT PROFILE / DIVIDE BY 2" dataDxfId="151">
      <calculatedColumnFormula>(LEN(AI2)-LEN(SUBSTITUTE(AI2,"}","")))</calculatedColumnFormula>
    </tableColumn>
    <tableColumn id="27" xr3:uid="{1C03E8F8-68EC-41A3-B7FC-60C35E80A4FA}" name="1" dataDxfId="150">
      <calculatedColumnFormula>SUBSTITUTE(LEFT(SUBSTITUTE(AI2," }"," @",1),FIND("@",SUBSTITUTE(AI2," }"," @",1))),"@","}")</calculatedColumnFormula>
    </tableColumn>
    <tableColumn id="28" xr3:uid="{0B2DD781-45F0-4FC1-93F5-EBB850ABBEC4}" name="2" dataDxfId="149">
      <calculatedColumnFormula>IFERROR(MID(AI2,FIND("@",SUBSTITUTE(AI2," }","@",1))+3,FIND("#",SUBSTITUTE(AI2," }","#",2))-FIND("@",SUBSTITUTE(AI2," }","@",1))-1),"")</calculatedColumnFormula>
    </tableColumn>
    <tableColumn id="29" xr3:uid="{0459B880-1B19-47E9-BFF6-8D730A723716}" name="3" dataDxfId="148">
      <calculatedColumnFormula>IFERROR(MID(AI2,FIND("@",SUBSTITUTE(AI2," }","@",2))+3,FIND("#",SUBSTITUTE(AI2," }","#",3))-FIND("@",SUBSTITUTE(AI2," }","@",2))-1),"")</calculatedColumnFormula>
    </tableColumn>
    <tableColumn id="30" xr3:uid="{C3641A41-5A68-41C6-A5AD-205966B370F7}" name="4" dataDxfId="147">
      <calculatedColumnFormula>IFERROR(MID(AI2,FIND("@",SUBSTITUTE(AI2," }","@",3))+3,FIND("#",SUBSTITUTE(AI2," }","#",4))-FIND("@",SUBSTITUTE(AI2," }","@",3))-1),"")</calculatedColumnFormula>
    </tableColumn>
    <tableColumn id="31" xr3:uid="{C22BB6E7-BEAA-42CE-AE39-CF9F995F0B06}" name="5" dataDxfId="146">
      <calculatedColumnFormula>IFERROR(MID(AI2,FIND("@",SUBSTITUTE(AI2," }","@",4))+3,FIND("#",SUBSTITUTE(AI2," }","#",5))-FIND("@",SUBSTITUTE(AI2," }","@",4))-1),"")</calculatedColumnFormula>
    </tableColumn>
    <tableColumn id="32" xr3:uid="{52EB9814-8599-44A9-A397-3C13D1CB9566}" name="6" dataDxfId="145">
      <calculatedColumnFormula>IFERROR(MID(AI2,FIND("@",SUBSTITUTE(AI2," }","@",5))+3,FIND("#",SUBSTITUTE(AI2," }","#",6))-FIND("@",SUBSTITUTE(AI2," }","@",5))-1),"")</calculatedColumnFormula>
    </tableColumn>
    <tableColumn id="33" xr3:uid="{9FDC4959-A5F5-43B8-92F8-D9B8F5DE7FCD}" name="7" dataDxfId="144">
      <calculatedColumnFormula>IFERROR(MID(AI2,FIND("@",SUBSTITUTE(AI2," }","@",6))+3,FIND("#",SUBSTITUTE(AI2," }","#",7))-FIND("@",SUBSTITUTE(AI2," }","@",6))-1),"")</calculatedColumnFormula>
    </tableColumn>
    <tableColumn id="34" xr3:uid="{520AD10B-1329-4CAA-BB20-D70C9AC6D8F3}" name="8" dataDxfId="143">
      <calculatedColumnFormula>IFERROR(MID(AI2,FIND("@",SUBSTITUTE(AI2," }","@",7))+3,FIND("#",SUBSTITUTE(AI2," }","#",8))-FIND("@",SUBSTITUTE(AI2," }","@",7))-1),"")</calculatedColumnFormula>
    </tableColumn>
    <tableColumn id="35" xr3:uid="{C017F5BB-A40A-49F8-85DB-3AB8C5D5B683}" name="9" dataDxfId="142">
      <calculatedColumnFormula>IFERROR(MID(AI2,FIND("@",SUBSTITUTE(AI2," }","@",8))+3,FIND("#",SUBSTITUTE(AI2," }","#",9))-FIND("@",SUBSTITUTE(AI2," }","@",8))-1),"")</calculatedColumnFormula>
    </tableColumn>
    <tableColumn id="36" xr3:uid="{2C1F68E2-6CD9-4325-A335-06B2E565F84B}" name="10" dataDxfId="141">
      <calculatedColumnFormula>IFERROR(MID(AI2,FIND("@",SUBSTITUTE(AI2," }","@",9))+3,FIND("#",SUBSTITUTE(AI2," }","#",10))-FIND("@",SUBSTITUTE(AI2," }","@",9))-1),"")</calculatedColumnFormula>
    </tableColumn>
    <tableColumn id="37" xr3:uid="{FC69F2F6-A32E-40CF-84D5-1119ED68EEFA}" name="PROFILE TYPE 1" dataDxfId="140">
      <calculatedColumnFormula>IFERROR(IFERROR(IFERROR(VLOOKUP(SUBSTITUTE(AK2," { }",""),ltmprofile!$B:$C,2,FALSE),VLOOKUP(SUBSTITUTE(AK2," { }",""),DefaultProfile[#All],2,FALSE)),VLOOKUP(SUBSTITUTE(AK2," { }",""),ASM[[POLICY NAME WITH ASM PREFIX]:[PROFILE TYPE]],2,FALSE)),"")</calculatedColumnFormula>
    </tableColumn>
    <tableColumn id="38" xr3:uid="{E2056180-FC6C-44B4-AC09-BFA89E118B9A}" name="PROFILE TYPE 2" dataDxfId="139">
      <calculatedColumnFormula>IFERROR(IFERROR(IFERROR(VLOOKUP(SUBSTITUTE(AL2," { }",""),ltmprofile!$B:$C,2,FALSE),VLOOKUP(SUBSTITUTE(AL2," { }",""),DefaultProfile[#All],2,FALSE)),VLOOKUP(SUBSTITUTE(AL2," { }",""),ASM[[POLICY NAME WITH ASM PREFIX]:[PROFILE TYPE]],2,FALSE)),"")</calculatedColumnFormula>
    </tableColumn>
    <tableColumn id="39" xr3:uid="{A4396FF1-FEA3-4DB7-A5CF-1DE5DB734959}" name="PROFILE TYPE 3" dataDxfId="138">
      <calculatedColumnFormula>IFERROR(IFERROR(IFERROR(VLOOKUP(SUBSTITUTE(AM2," { }",""),ltmprofile!$B:$C,2,FALSE),VLOOKUP(SUBSTITUTE(AM2," { }",""),DefaultProfile[#All],2,FALSE)),VLOOKUP(SUBSTITUTE(AM2," { }",""),ASM[[POLICY NAME WITH ASM PREFIX]:[PROFILE TYPE]],2,FALSE)),"")</calculatedColumnFormula>
    </tableColumn>
    <tableColumn id="40" xr3:uid="{E2E35C15-2900-4A67-857A-8A6D9A5816E1}" name="PROFILE TYPE 4" dataDxfId="137">
      <calculatedColumnFormula>IFERROR(IFERROR(IFERROR(VLOOKUP(SUBSTITUTE(AN2," { }",""),ltmprofile!$B:$C,2,FALSE),VLOOKUP(SUBSTITUTE(AN2," { }",""),DefaultProfile[#All],2,FALSE)),VLOOKUP(SUBSTITUTE(AN2," { }",""),ASM[[POLICY NAME WITH ASM PREFIX]:[PROFILE TYPE]],2,FALSE)),"")</calculatedColumnFormula>
    </tableColumn>
    <tableColumn id="41" xr3:uid="{63A48740-381B-4AE4-9C00-9702EA6E2984}" name="PROFILE TYPE 5" dataDxfId="136">
      <calculatedColumnFormula>IFERROR(IFERROR(IFERROR(VLOOKUP(SUBSTITUTE(AO2," { }",""),ltmprofile!$B:$C,2,FALSE),VLOOKUP(SUBSTITUTE(AO2," { }",""),DefaultProfile[#All],2,FALSE)),VLOOKUP(SUBSTITUTE(AO2," { }",""),ASM[[POLICY NAME WITH ASM PREFIX]:[PROFILE TYPE]],2,FALSE)),"")</calculatedColumnFormula>
    </tableColumn>
    <tableColumn id="42" xr3:uid="{1F6284AB-BF8B-411D-9C1B-30C764334012}" name="PROFILE TYPE 6" dataDxfId="135">
      <calculatedColumnFormula>IFERROR(IFERROR(IFERROR(VLOOKUP(SUBSTITUTE(AP2," { }",""),ltmprofile!$B:$C,2,FALSE),VLOOKUP(SUBSTITUTE(AP2," { }",""),DefaultProfile[#All],2,FALSE)),VLOOKUP(SUBSTITUTE(AP2," { }",""),ASM[[POLICY NAME WITH ASM PREFIX]:[PROFILE TYPE]],2,FALSE)),"")</calculatedColumnFormula>
    </tableColumn>
    <tableColumn id="43" xr3:uid="{03F6DAC8-0115-422A-B669-755ECB134474}" name="PROFILE TYPE 7" dataDxfId="134">
      <calculatedColumnFormula>IFERROR(IFERROR(IFERROR(VLOOKUP(SUBSTITUTE(AQ2," { }",""),ltmprofile!$B:$C,2,FALSE),VLOOKUP(SUBSTITUTE(AQ2," { }",""),DefaultProfile[#All],2,FALSE)),VLOOKUP(SUBSTITUTE(AQ2," { }",""),ASM[[POLICY NAME WITH ASM PREFIX]:[PROFILE TYPE]],2,FALSE)),"")</calculatedColumnFormula>
    </tableColumn>
    <tableColumn id="44" xr3:uid="{87CDA51B-6AE2-4CD5-9AC5-74F8CCD0CAE6}" name="PROFILE TYPE 8" dataDxfId="133">
      <calculatedColumnFormula>IFERROR(IFERROR(IFERROR(VLOOKUP(SUBSTITUTE(AR2," { }",""),ltmprofile!$B:$C,2,FALSE),VLOOKUP(SUBSTITUTE(AR2," { }",""),DefaultProfile[#All],2,FALSE)),VLOOKUP(SUBSTITUTE(AR2," { }",""),ASM[[POLICY NAME WITH ASM PREFIX]:[PROFILE TYPE]],2,FALSE)),"")</calculatedColumnFormula>
    </tableColumn>
    <tableColumn id="45" xr3:uid="{B9232F3C-754D-4DA3-AA20-7A91EAD1B44A}" name="PROFILE TYPE 9" dataDxfId="132">
      <calculatedColumnFormula>IFERROR(IFERROR(IFERROR(VLOOKUP(SUBSTITUTE(AS2," { }",""),ltmprofile!$B:$C,2,FALSE),VLOOKUP(SUBSTITUTE(AS2," { }",""),DefaultProfile[#All],2,FALSE)),VLOOKUP(SUBSTITUTE(AS2," { }",""),ASM[[POLICY NAME WITH ASM PREFIX]:[PROFILE TYPE]],2,FALSE)),"")</calculatedColumnFormula>
    </tableColumn>
    <tableColumn id="46" xr3:uid="{F12D65A6-0306-419B-97CD-378FED8C7BCE}" name="PROFILE TYPE 10" dataDxfId="131">
      <calculatedColumnFormula>IFERROR(IFERROR(IFERROR(VLOOKUP(SUBSTITUTE(AT2," { }",""),ltmprofile!$B:$C,2,FALSE),VLOOKUP(SUBSTITUTE(AT2," { }",""),DefaultProfile[#All],2,FALSE)),VLOOKUP(SUBSTITUTE(AT2," { }",""),ASM[[POLICY NAME WITH ASM PREFIX]:[PROFILE TYPE]],2,FALSE)),"")</calculatedColumnFormula>
    </tableColumn>
  </tableColumns>
  <tableStyleInfo name="TableStyleLight9" showFirstColumn="0" showLastColumn="0" showRowStripes="1" showColumnStripes="1"/>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CFAE35EE-32AC-41BD-A712-82C851409F17}" name="VirtualAddress" displayName="VirtualAddress" ref="A1:I2" totalsRowShown="0" headerRowDxfId="130" dataDxfId="129">
  <tableColumns count="9">
    <tableColumn id="1" xr3:uid="{82EBEB71-00B1-4A13-9310-AA3AE6D201C8}" name="PASTE ONE LINE CONFIG HERE" dataDxfId="128"/>
    <tableColumn id="9" xr3:uid="{49DBCBE9-C2D4-4033-9F58-A3F9414500AD}" name="Replace last } with &quot; }&quot;" dataDxfId="127">
      <calculatedColumnFormula>LEFT(A2,LEN(A2)-1)&amp;" }"</calculatedColumnFormula>
    </tableColumn>
    <tableColumn id="7" xr3:uid="{3E2B565C-83DB-4502-86A6-4E04A2EC1B03}" name="NAME" dataDxfId="126">
      <calculatedColumnFormula>MID(A2,FIND("/",A2),FIND(" ",A2,FIND("/",A2))-FIND("/",A2))</calculatedColumnFormula>
    </tableColumn>
    <tableColumn id="6" xr3:uid="{F03B4056-8B3F-4361-B52A-9C42D29FFD10}" name="{ address " dataDxfId="125">
      <calculatedColumnFormula>MID($B2,FIND(D$1,$B2)+LEN(D$1),FIND(" ",$B2,FIND(D$1,$B2)+LEN(D$1))-FIND(D$1,$B2)-LEN(D$1))</calculatedColumnFormula>
    </tableColumn>
    <tableColumn id="5" xr3:uid="{752B22EC-3195-48EB-8491-79B846467F8D}" name="arp " dataDxfId="124">
      <calculatedColumnFormula>MID($B2,FIND(E$1,$B2)+LEN(E$1),FIND(" ",$B2,FIND(E$1,$B2)+LEN(E$1))-FIND(E$1,$B2)-LEN(E$1))</calculatedColumnFormula>
    </tableColumn>
    <tableColumn id="4" xr3:uid="{9D100988-B87A-4A7E-96FA-860217D021AA}" name="icmp-echo " dataDxfId="123">
      <calculatedColumnFormula>MID($B2,FIND(F$1,$B2)+LEN(F$1),FIND(" ",$B2,FIND(F$1,$B2)+LEN(F$1))-FIND(F$1,$B2)-LEN(F$1))</calculatedColumnFormula>
    </tableColumn>
    <tableColumn id="3" xr3:uid="{489DF656-40BA-4C6D-9521-5F4BE1089FC9}" name="mask " dataDxfId="122">
      <calculatedColumnFormula>MID($B2,FIND(G$1,$B2)+LEN(G$1),FIND(" ",$B2,FIND(G$1,$B2)+LEN(G$1))-FIND(G$1,$B2)-LEN(G$1))</calculatedColumnFormula>
    </tableColumn>
    <tableColumn id="2" xr3:uid="{07F96E95-0FEB-4245-8FB4-EFC926C1EA31}" name="traffic-group " dataDxfId="121">
      <calculatedColumnFormula>MID($B2,FIND(H$1,$B2)+LEN(H$1),FIND(" ",$B2,FIND(H$1,$B2)+LEN(H$1))-FIND(H$1,$B2)-LEN(H$1))</calculatedColumnFormula>
    </tableColumn>
    <tableColumn id="8" xr3:uid="{65D41832-1534-4F6C-9D3F-56E40326A077}" name="route-advertisement " dataDxfId="120">
      <calculatedColumnFormula>MID($B2,FIND(I$1,$B2)+LEN(I$1),FIND(" ",$B2,FIND(I$1,$B2)+LEN(I$1))-FIND(I$1,$B2)-LEN(I$1))</calculatedColumnFormula>
    </tableColumn>
  </tableColumns>
  <tableStyleInfo name="TableStyleLight9" showFirstColumn="0" showLastColumn="0" showRowStripes="1" showColumnStripes="1"/>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C226E0C-A815-4D8C-B381-D251FD8ABD51}" name="GTMCertificateDetails" displayName="GTMCertificateDetails" ref="A1:H2" totalsRowShown="0" headerRowDxfId="119" dataDxfId="118">
  <tableColumns count="8">
    <tableColumn id="1" xr3:uid="{6DAE913C-9104-40B1-84C0-6EB9D7106864}" name="FileName" dataDxfId="117"/>
    <tableColumn id="2" xr3:uid="{39FFF0EE-634C-4DAE-B0C3-B6533EE96F30}" name="FilePath" dataDxfId="116"/>
    <tableColumn id="3" xr3:uid="{505DD038-1D70-4E26-9BEE-29BD26EC582D}" name="Subject" dataDxfId="115"/>
    <tableColumn id="6" xr3:uid="{D334E5E7-DF91-4609-ACA8-9C389AD82D9A}" name="Issuer" dataDxfId="114"/>
    <tableColumn id="4" xr3:uid="{DD5A6E92-DE74-4A3F-83A7-DC5748EE7AC8}" name="Thumbprint" dataDxfId="113"/>
    <tableColumn id="8" xr3:uid="{95A26F7B-C77B-4413-8A98-5F04D7C8E62D}" name="NotBefore" dataDxfId="112"/>
    <tableColumn id="7" xr3:uid="{8AB04C26-F896-4232-AB53-93F281AD1FED}" name="NotAfter" dataDxfId="111"/>
    <tableColumn id="5" xr3:uid="{3102421C-6F47-4E4C-9237-E6CC286E727C}" name="SAN" dataDxfId="110"/>
  </tableColumns>
  <tableStyleInfo name="TableStyleLight9" showFirstColumn="0" showLastColumn="0" showRowStripes="1" showColumnStripes="1"/>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7547E4D-004D-4687-9FF0-63E044C414B6}" name="Big3dCertificateDetails" displayName="Big3dCertificateDetails" ref="A1:H2" totalsRowShown="0" headerRowDxfId="109" dataDxfId="108">
  <tableColumns count="8">
    <tableColumn id="1" xr3:uid="{ED160E84-2E10-4BB9-8C66-705B5562A081}" name="FileName" dataDxfId="107"/>
    <tableColumn id="2" xr3:uid="{57833D1F-F7AF-4810-BCBE-6E76489EC5C0}" name="FilePath" dataDxfId="106"/>
    <tableColumn id="3" xr3:uid="{5B3E9F3E-D434-41B2-9C06-8E374406BDCB}" name="Subject" dataDxfId="105"/>
    <tableColumn id="6" xr3:uid="{E607503F-3ED4-467D-B86A-F9EDFB45472C}" name="Issuer" dataDxfId="104"/>
    <tableColumn id="4" xr3:uid="{AFF6EC1F-001B-4B04-966C-E793B854D3D0}" name="Thumbprint" dataDxfId="103"/>
    <tableColumn id="8" xr3:uid="{FA7B6D98-323C-4A6A-A697-951E31A1227E}" name="NotBefore" dataDxfId="102"/>
    <tableColumn id="7" xr3:uid="{BCCC8757-1257-4E71-BCD1-A9F773F6DCD5}" name="NotAfter" dataDxfId="101"/>
    <tableColumn id="5" xr3:uid="{B0C9A572-9E68-4FDD-AE4A-D1719AD529B3}" name="SAN" dataDxfId="100"/>
  </tableColumns>
  <tableStyleInfo name="TableStyleLight9" showFirstColumn="0" showLastColumn="0" showRowStripes="1" showColumnStripes="1"/>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6F2ADD3-6693-4E13-92C8-254895698FF3}" name="gtmdatacenter" displayName="gtmdatacenter" ref="A1:C2" totalsRowShown="0" headerRowDxfId="99" dataDxfId="98">
  <autoFilter ref="A1:C2" xr:uid="{382D23E9-8A97-4231-80F7-6E47E8B11D69}"/>
  <tableColumns count="3">
    <tableColumn id="1" xr3:uid="{05A547A7-EA9C-45D7-8C97-060F990FFFB0}" name="PASTE ONE LINE CONFIG HERE" dataDxfId="97"/>
    <tableColumn id="4" xr3:uid="{321968BC-7EE7-4D3B-8B36-5E9174C8523F}" name="Substitute last } with &quot; }&quot;" dataDxfId="96">
      <calculatedColumnFormula>SUBSTITUTE(A2,"}"," }",LEN(A2)-(LEN(SUBSTITUTE(A2,"}",""))))</calculatedColumnFormula>
    </tableColumn>
    <tableColumn id="19" xr3:uid="{40DC1150-2E61-4A30-B1EF-CD26C39C7E09}" name="DATACENTER NAME" dataDxfId="95">
      <calculatedColumnFormula>MID(A2,FIND("gtm datacenter ",A2)+15,FIND(" ",A2,FIND("gtm datacenter ",A2)+15)-FIND("gtm datacenter ",A2)-15)</calculatedColumnFormula>
    </tableColumn>
  </tableColumns>
  <tableStyleInfo name="TableStyleLight9" showFirstColumn="0" showLastColumn="0" showRowStripes="1" showColumnStripes="1"/>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C200EAB-659F-4682-A20B-7702ADE6B6AF}" name="gtmproberpool" displayName="gtmproberpool" ref="A1:E2" totalsRowShown="0" headerRowDxfId="94" dataDxfId="93">
  <autoFilter ref="A1:E2" xr:uid="{382D23E9-8A97-4231-80F7-6E47E8B11D69}"/>
  <tableColumns count="5">
    <tableColumn id="1" xr3:uid="{C0093FE3-37AE-4FAE-97AC-236FF0D95B73}" name="PASTE ONE LINE CONFIG HERE" dataDxfId="92"/>
    <tableColumn id="4" xr3:uid="{540C0981-A7EC-4880-B1D1-3DEE7F2A2A7E}" name="Substitute last } with &quot; }&quot;" dataDxfId="91">
      <calculatedColumnFormula>SUBSTITUTE(A2,"}"," }",LEN(A2)-(LEN(SUBSTITUTE(A2,"}",""))))</calculatedColumnFormula>
    </tableColumn>
    <tableColumn id="3" xr3:uid="{003FCB23-FC11-4368-B1B5-CA462BD4E66D}" name="prober-pool " dataDxfId="90">
      <calculatedColumnFormula>MID($B2,FIND(C$1,$B2)+LEN(C$1),FIND(" ",$B2,FIND(C$1,$B2)+LEN(C$1))-FIND(C$1,$B2)-LEN(C$1))</calculatedColumnFormula>
    </tableColumn>
    <tableColumn id="9" xr3:uid="{DA8FF688-1894-4A23-A53B-23D909CFA1D6}" name="POOL MEMBERS (WRAP TEXT TO VIEW MULTILINE)" dataDxfId="89">
      <calculatedColumnFormula>SUBSTITUTE(MID(A2,FIND(" members { ",A2)+11,FIND("} }",A2,FIND(" members { ",A2)+11)-FIND(" members { ",A2)-11),"} /","}"&amp;CHAR(10)&amp;"/")</calculatedColumnFormula>
    </tableColumn>
    <tableColumn id="2" xr3:uid="{4F1A35D1-ADCF-47B2-AA9D-F23585C7A97B}" name="POOL MEMBER COUNT" dataDxfId="88">
      <calculatedColumnFormula>LEN(D2)-LEN(SUBSTITUTE(D2,"order","orde"))</calculatedColumnFormula>
    </tableColumn>
  </tableColumns>
  <tableStyleInfo name="TableStyleLight9" showFirstColumn="0" showLastColumn="0" showRowStripes="1" showColumnStripes="1"/>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59DA102-1DD0-46AD-9AFB-848F6E6AB20F}" name="gtmregion" displayName="gtmregion" ref="A1:E2" totalsRowShown="0" headerRowDxfId="87" dataDxfId="86">
  <autoFilter ref="A1:E2" xr:uid="{382D23E9-8A97-4231-80F7-6E47E8B11D69}"/>
  <tableColumns count="5">
    <tableColumn id="1" xr3:uid="{361DB09C-D92F-4708-9C0A-A57C79E9645F}" name="PASTE ONE LINE CONFIG HERE" dataDxfId="85"/>
    <tableColumn id="4" xr3:uid="{BFF67EBD-553C-4787-874B-F90AB62C0299}" name="Substitute last } with &quot; }&quot;" dataDxfId="84">
      <calculatedColumnFormula>SUBSTITUTE(A2,"}"," }",LEN(A2)-(LEN(SUBSTITUTE(A2,"}",""))))</calculatedColumnFormula>
    </tableColumn>
    <tableColumn id="3" xr3:uid="{05D798E4-91ED-402B-B366-3C2FF89A5BCA}" name="region  " dataDxfId="83">
      <calculatedColumnFormula>MID($B2,FIND(C$1,$B2)+LEN(C$1)+1,FIND(CHAR(34),$B2,FIND(C$1,$B2)+LEN(C$1)+1)-FIND(C$1,$B2)-LEN(C$1)-1)</calculatedColumnFormula>
    </tableColumn>
    <tableColumn id="9" xr3:uid="{DC285CC8-E605-462D-9D53-9EA809D07F63}" name="SUBNET (WRAP TEXT TO VIEW MULTILINE)" dataDxfId="82">
      <calculatedColumnFormula>SUBSTITUTE(MID(A2,FIND(" region-members { ",A2)+18,FIND("} }",A2,FIND(" region-members { ",A2)+18)-FIND(" region-members { ",A2)-18),"} s","}"&amp;CHAR(10)&amp;"s")</calculatedColumnFormula>
    </tableColumn>
    <tableColumn id="2" xr3:uid="{988DC210-6523-403F-9EA3-F44715391C97}" name="SUBNET COUNT" dataDxfId="81">
      <calculatedColumnFormula>LEN(D2)-LEN(SUBSTITUTE(D2,"subnet","subne"))</calculatedColumnFormula>
    </tableColumn>
  </tableColumns>
  <tableStyleInfo name="TableStyleLight9" showFirstColumn="0" showLastColumn="0" showRowStripes="1" showColumnStripes="1"/>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A0F916B-8628-41E5-B040-904D2A157BA9}" name="gtmserver" displayName="gtmserver" ref="A1:J2" totalsRowShown="0" headerRowDxfId="80" dataDxfId="79">
  <autoFilter ref="A1:J2" xr:uid="{382D23E9-8A97-4231-80F7-6E47E8B11D69}"/>
  <tableColumns count="10">
    <tableColumn id="1" xr3:uid="{33377337-4502-4AF7-9A35-87A429EB29A4}" name="PASTE ONE LINE CONFIG HERE" dataDxfId="78"/>
    <tableColumn id="4" xr3:uid="{68988CA2-DA70-43F6-9CA1-8DD27D861199}" name="Substitute last } with &quot; }&quot;" dataDxfId="77">
      <calculatedColumnFormula>SUBSTITUTE(A2,"}"," }",LEN(A2)-(LEN(SUBSTITUTE(A2,"}",""))))</calculatedColumnFormula>
    </tableColumn>
    <tableColumn id="19" xr3:uid="{569CECC2-C040-4DDA-9B17-E1F5A851F496}" name="SERVER NAME" dataDxfId="76">
      <calculatedColumnFormula>MID(A2,FIND("gtm server ",A2)+11,FIND(" ",A2,FIND("gtm server ",A2)+11)-FIND("gtm server ",A2)-11)</calculatedColumnFormula>
    </tableColumn>
    <tableColumn id="3" xr3:uid="{9F7A0DD0-1006-48CA-AD89-F2FC5DB86879}" name="DATACENTER" dataDxfId="75">
      <calculatedColumnFormula>MID(A2,FIND("datacenter ",A2)+11,FIND(" ",A2,FIND("datacenter ",A2)+11)-FIND("datacenter ",A2)-11)</calculatedColumnFormula>
    </tableColumn>
    <tableColumn id="5" xr3:uid="{8D5A2A96-997F-42C7-9BE6-358CC1BEB11B}" name="DEVICES" dataDxfId="74">
      <calculatedColumnFormula>MID(B2,FIND("devices { ",B2)+10,FIND(" } }",B2,FIND("devices { ",B2)+10)-FIND("devices { ",B2)-10)</calculatedColumnFormula>
    </tableColumn>
    <tableColumn id="6" xr3:uid="{B2D205CF-615E-457A-B67B-961921EA0AED}" name="MONITOR" dataDxfId="73">
      <calculatedColumnFormula>MID(A2,FIND("monitor ",A2)+8,FIND(" ",A2,FIND("monitor ",A2)+8)-FIND("monitor ",A2)-8)</calculatedColumnFormula>
    </tableColumn>
    <tableColumn id="7" xr3:uid="{EC08587B-925E-4812-B444-E3DCB0B502B6}" name="PRODUCT" dataDxfId="72">
      <calculatedColumnFormula>IFERROR(MID(B2,FIND("product ",B2)+8,FIND(" ",B2,FIND("product ",B2)+8)-FIND("product ",B2)-8),"")</calculatedColumnFormula>
    </tableColumn>
    <tableColumn id="11" xr3:uid="{85547F6E-0845-4116-8527-E8364D1A7D60}" name="VIRTUAL SERVER DISCOVERY" dataDxfId="71">
      <calculatedColumnFormula>IFERROR(MID(A2,FIND("virtual-server-discovery ",A2)+25,FIND(" ",A2,FIND("virtual-server-discovery ",A2)+25)-FIND("virtual-server-discovery ",A2)-25),"")</calculatedColumnFormula>
    </tableColumn>
    <tableColumn id="9" xr3:uid="{1DC64164-0A27-4302-827A-1D1EC7A8A0A2}" name="VIRTUAL SERVER (WRAP TEXT TO SEE LIST OF VS)" dataDxfId="70">
      <calculatedColumnFormula>IFERROR(MID(A2,FIND("virtual-servers { ",A2)+18,FIND("} }}",A2,FIND("virtual-servers { ",A2)+18)-FIND("virtual-servers { ",A2)-18),"")</calculatedColumnFormula>
    </tableColumn>
    <tableColumn id="2" xr3:uid="{886B0489-5CD0-419B-B49A-2F5E29400C12}" name="Pool Member Count" dataDxfId="69">
      <calculatedColumnFormula>LEN(I2)-LEN(SUBSTITUTE(I2,"destination","destinatio"))</calculatedColumnFormula>
    </tableColumn>
  </tableColumns>
  <tableStyleInfo name="TableStyleLight9" showFirstColumn="0" showLastColumn="0" showRowStripes="1" showColumnStripes="1"/>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9643329-340E-4E22-9506-A90B7BD1DDB1}" name="gtmtopology" displayName="gtmtopology" ref="A1:D2" totalsRowShown="0" headerRowDxfId="68" dataDxfId="67">
  <autoFilter ref="A1:D2" xr:uid="{382D23E9-8A97-4231-80F7-6E47E8B11D69}"/>
  <tableColumns count="4">
    <tableColumn id="1" xr3:uid="{658E9792-7F7A-461C-A4EA-1359AC4C6755}" name="PASTE ONE LINE CONFIG HERE" dataDxfId="66"/>
    <tableColumn id="4" xr3:uid="{B10FDB06-109A-49AA-8AA9-F100B3B51AEE}" name="Substitute last } with &quot; }&quot;" dataDxfId="65">
      <calculatedColumnFormula>SUBSTITUTE(A2,"}"," }",LEN(A2)-(LEN(SUBSTITUTE(A2,"}",""))))</calculatedColumnFormula>
    </tableColumn>
    <tableColumn id="3" xr3:uid="{B5961553-0F05-41A9-9510-D83842745F8E}" name="LDNS" dataDxfId="64">
      <calculatedColumnFormula>MID(A2,FIND(" ldns: ",A2)+7,FIND(" server:",A2,FIND(" ldns: ",A2)+7)-FIND(" ldns: ",A2)-7)</calculatedColumnFormula>
    </tableColumn>
    <tableColumn id="5" xr3:uid="{DE517A3E-C713-43D5-B10B-CFD36A3AC64D}" name="SERVER" dataDxfId="63">
      <calculatedColumnFormula>MID(A2,FIND(" server: ",A2)+9,FIND("}",A2,FIND(" server: ",A2)+9)-FIND(" server: ",A2)-9)</calculatedColumnFormula>
    </tableColumn>
  </tableColumns>
  <tableStyleInfo name="TableStyleLight9" showFirstColumn="0" showLastColumn="0" showRowStripes="1" showColumnStripes="1"/>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EF6254-2FA2-4C91-B159-994E0472F638}" name="gtmglobalsettings" displayName="gtmglobalsettings" ref="A1:D2" totalsRowShown="0" headerRowDxfId="62" dataDxfId="61">
  <autoFilter ref="A1:D2" xr:uid="{382D23E9-8A97-4231-80F7-6E47E8B11D69}"/>
  <tableColumns count="4">
    <tableColumn id="1" xr3:uid="{1ECA0B82-F428-4905-B1B6-35087B89614D}" name="PASTE ONE LINE CONFIG HERE" dataDxfId="60"/>
    <tableColumn id="4" xr3:uid="{3249AB2F-2C6F-42E7-8B14-4C3469DB9C00}" name="Substitute last } with &quot; }&quot;" dataDxfId="59">
      <calculatedColumnFormula>SUBSTITUTE(A2,"}"," }",LEN(A2)-(LEN(SUBSTITUTE(A2,"}",""))))</calculatedColumnFormula>
    </tableColumn>
    <tableColumn id="3" xr3:uid="{0838A5E1-C9E5-4A87-A919-A81F7858C826}" name="synchronization " dataDxfId="58">
      <calculatedColumnFormula>MID($B2,FIND(C$1,$B2)+LEN(C$1),FIND(" ",$B2,FIND(C$1,$B2)+LEN(C$1))-FIND(C$1,$B2)-LEN(C$1))</calculatedColumnFormula>
    </tableColumn>
    <tableColumn id="5" xr3:uid="{80DD5981-F002-4962-A785-F3F5BB5CB59D}" name="synchronization-group-name " dataDxfId="57">
      <calculatedColumnFormula>MID($B2,FIND(D$1,$B2)+LEN(D$1),FIND(" ",$B2,FIND(D$1,$B2)+LEN(D$1))-FIND(D$1,$B2)-LEN(D$1))</calculatedColumnFormula>
    </tableColumn>
  </tableColumns>
  <tableStyleInfo name="TableStyleLight9" showFirstColumn="0" showLastColumn="0" showRowStripes="1" showColumnStripes="1"/>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F42DF07D-0A6B-4992-96DD-B4B77C89310F}" name="gtmmonitor" displayName="gtmmonitor" ref="A1:M2" totalsRowShown="0" headerRowDxfId="56" dataDxfId="55">
  <autoFilter ref="A1:M2" xr:uid="{382D23E9-8A97-4231-80F7-6E47E8B11D69}"/>
  <tableColumns count="13">
    <tableColumn id="1" xr3:uid="{00545A2C-F178-4AAE-B753-FAA837C1A4C8}" name="PASTE ONE LINE CONFIG HERE" dataDxfId="54"/>
    <tableColumn id="4" xr3:uid="{F6267AAE-C23E-4F08-BE68-05C1F146F637}" name="Substitute last } with &quot; }&quot;" dataDxfId="53">
      <calculatedColumnFormula>SUBSTITUTE(A2,"}"," }",LEN(A2)-(LEN(SUBSTITUTE(A2,"}",""))))</calculatedColumnFormula>
    </tableColumn>
    <tableColumn id="19" xr3:uid="{C8CAFC1A-1797-40A1-973F-ACB275C69BD7}" name="MONITOR TYPE" dataDxfId="52">
      <calculatedColumnFormula>MID(A2,FIND("gtm monitor ",A2)+12,FIND(" ",A2,FIND("gtm monitor ",A2)+12)-FIND("gtm monitor ",A2)-12)</calculatedColumnFormula>
    </tableColumn>
    <tableColumn id="3" xr3:uid="{9D6949DD-3297-47EE-84AD-9891BC3D051E}" name="MONITOR NAME" dataDxfId="51">
      <calculatedColumnFormula>MID(A2,FIND(" https ",A2)+7,FIND(" ",A2,FIND(" https ",A2)+7)-FIND(" https ",A2)-7)</calculatedColumnFormula>
    </tableColumn>
    <tableColumn id="5" xr3:uid="{BE697D0D-4C1E-419F-AFB0-C89FE16548EA}" name="CIPHERLIST" dataDxfId="50">
      <calculatedColumnFormula>MID(A2,FIND(" cipherlist ",A2)+12,FIND(" ",A2,FIND(" cipherlist ",A2)+12)-FIND(" cipherlist ",A2)-12)</calculatedColumnFormula>
    </tableColumn>
    <tableColumn id="7" xr3:uid="{9B93DA1F-D18B-4C37-847B-7C80268089E3}" name="COMPATIBILITY" dataDxfId="49">
      <calculatedColumnFormula>MID(A2,FIND(" compatibility ",A2)+15,FIND(" ",A2,FIND(" compatibility ",A2)+15)-FIND(" compatibility ",A2)-15)</calculatedColumnFormula>
    </tableColumn>
    <tableColumn id="11" xr3:uid="{B5E955C8-8450-4FD7-80E8-6E951936E9C8}" name="DEFAULTS FROM" dataDxfId="48">
      <calculatedColumnFormula>MID(A2,FIND(" defaults-from ",A2)+15,FIND(" ",A2,FIND(" defaults-from ",A2)+15)-FIND(" defaults-from ",A2)-15)</calculatedColumnFormula>
    </tableColumn>
    <tableColumn id="6" xr3:uid="{0D314E7B-B2F8-417B-98D2-783A0B5CC35E}" name="DESTINATION" dataDxfId="47">
      <calculatedColumnFormula>MID(A2,FIND(" destination ",A2)+13,FIND(" ",A2,FIND(" destination ",A2)+13)-FIND(" destination ",A2)-13)</calculatedColumnFormula>
    </tableColumn>
    <tableColumn id="15" xr3:uid="{26D0F3FE-76A5-487E-A1F1-CFCAD034F6C3}" name="INTERVAL" dataDxfId="46">
      <calculatedColumnFormula>MID(A2,FIND(" interval ",A2)+10,FIND(" ",A2,FIND(" interval ",A2)+10)-FIND(" interval ",A2)-10)</calculatedColumnFormula>
    </tableColumn>
    <tableColumn id="12" xr3:uid="{DDF6740D-3041-4E25-AD4C-1EC34BAE0C39}" name="PROBE TIMEOUT" dataDxfId="45">
      <calculatedColumnFormula>MID(A2,FIND(" probe-timeout ",A2)+15,FIND(" ",A2,FIND(" probe-timeout ",A2)+15)-FIND(" probe-timeout ",A2)-15)</calculatedColumnFormula>
    </tableColumn>
    <tableColumn id="13" xr3:uid="{14657886-8409-492D-AFE6-830A9D62983F}" name="RECEIVE" dataDxfId="44">
      <calculatedColumnFormula>MID(A2,FIND(" recv ",A2)+6,FIND(" send ",A2,FIND(" recv ",A2)+6)-FIND(" recv ",A2)-6)</calculatedColumnFormula>
    </tableColumn>
    <tableColumn id="14" xr3:uid="{74CE08E7-9B6B-46A8-A232-7FF0C63341E7}" name="SEND" dataDxfId="43">
      <calculatedColumnFormula>IFERROR(MID(A2,FIND(" send ",A2)+6,FIND((CHAR(34)&amp;" "),A2,FIND(" send ",A2)+6)-FIND(" send ",A2)-6),MID(A2,FIND(" send ",A2)+6,FIND(" ",A2,FIND(" send ",A2)+6)-FIND(" send ",A2)-6))</calculatedColumnFormula>
    </tableColumn>
    <tableColumn id="16" xr3:uid="{5696D95D-1CF6-4327-9703-AFEE08A965EF}" name="TIMEOUT" dataDxfId="42">
      <calculatedColumnFormula>MID(B2,FIND(" timeout ",B2)+9,FIND(" ",B2,FIND(" timeout ",B2)+9)-FIND(" timeout ",B2)-9)</calculatedColumnFormula>
    </tableColumn>
  </tableColumns>
  <tableStyleInfo name="TableStyleLight9" showFirstColumn="0" showLastColumn="0" showRowStripes="1" showColumnStripes="1"/>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30D1BEF-68B1-4B33-BB4C-B50EF3232121}" name="gtmpool" displayName="gtmpool" ref="A1:L2" totalsRowShown="0" headerRowDxfId="41" dataDxfId="40">
  <autoFilter ref="A1:L2" xr:uid="{382D23E9-8A97-4231-80F7-6E47E8B11D69}"/>
  <tableColumns count="12">
    <tableColumn id="1" xr3:uid="{3CA50F1F-F2CE-40E1-ACFD-47014C6B4C37}" name="PASTE ONE LINE CONFIG HERE" dataDxfId="39"/>
    <tableColumn id="4" xr3:uid="{E155096A-94D6-4D4A-BE9F-530D31670620}" name="Substitute last } with &quot; }&quot;" dataDxfId="38">
      <calculatedColumnFormula>SUBSTITUTE(A2,"}"," }",LEN(A2)-(LEN(SUBSTITUTE(A2,"}",""))))</calculatedColumnFormula>
    </tableColumn>
    <tableColumn id="19" xr3:uid="{9C44E23E-C731-4FDC-AD5E-D0B600A657EC}" name="POOL TYPE" dataDxfId="37">
      <calculatedColumnFormula>MID(A2,FIND(" pool ",A2)+6,FIND(" ",A2,FIND(" pool ",A2)+6)-FIND(" pool ",A2)-6)</calculatedColumnFormula>
    </tableColumn>
    <tableColumn id="3" xr3:uid="{DB104E04-4676-42A7-B59B-FECACA16FA2C}" name="POOL NAME" dataDxfId="36">
      <calculatedColumnFormula>MID(A2,FIND(" a ",A2)+3,FIND(" ",A2,FIND(" a ",A2)+3)-FIND(" a ",A2)-3)</calculatedColumnFormula>
    </tableColumn>
    <tableColumn id="12" xr3:uid="{1BA8D15C-2F6D-497E-92CA-D662780E5386}" name="POOL LOAD BALANCING MODE _x000a_(PREFFERED)" dataDxfId="35">
      <calculatedColumnFormula>IFERROR(MID(A2,FIND(" load-balancing-mode ",A2)+21,FIND(" ",A2,FIND(" load-balancing-mode ",A2)+21)-FIND(" load-balancing-mode ",A2)-21),"round-robin")</calculatedColumnFormula>
    </tableColumn>
    <tableColumn id="5" xr3:uid="{6DB4DE7A-1631-473F-A14C-E7020450FCFF}" name="POOL LOAD BALANCING MODE (ALTERNATE)" dataDxfId="34">
      <calculatedColumnFormula>IFERROR(MID(A2,FIND(" alternate-mode ",A2)+16,FIND(" ",A2,FIND(" alternate-mode ",A2)+16)-FIND(" alternate-mode ",A2)-16),"round-robin")</calculatedColumnFormula>
    </tableColumn>
    <tableColumn id="7" xr3:uid="{4909F191-34F8-44FE-A09C-E8F25F5497DB}" name="POOL LOAD BALANCING MODE (FALLBACK)" dataDxfId="33">
      <calculatedColumnFormula>IFERROR(MID(A2,FIND(" fallback-mode ",A2)+15,FIND(" ",A2,FIND(" fallback-mode ",A2)+15)-FIND(" fallback-mode ",A2)-15),"return-to-dns")</calculatedColumnFormula>
    </tableColumn>
    <tableColumn id="11" xr3:uid="{F14D8566-2451-47C0-A32C-3740E7551E12}" name="FALLBACK IP" dataDxfId="32">
      <calculatedColumnFormula>IFERROR(MID(A2,FIND(" fallback-ip ",A2)+13,FIND(" ",A2,FIND(" fallback-ip ",A2)+13)-FIND(" fallback-ip ",A2)-13),"0.0.0.0")</calculatedColumnFormula>
    </tableColumn>
    <tableColumn id="6" xr3:uid="{4AD14468-C378-46AE-8FEF-4D069C569679}" name="TTL" dataDxfId="31">
      <calculatedColumnFormula>IFERROR(MID(A2,FIND(" ttl ",A2)+5,FIND(" ",A2,FIND(" ttl ",A2)+5)-FIND(" ttl ",A2)-5),"")</calculatedColumnFormula>
    </tableColumn>
    <tableColumn id="15" xr3:uid="{EADD7C78-58E4-4B30-A2F7-343C8066D77E}" name="MONITOR" dataDxfId="30">
      <calculatedColumnFormula>IFERROR(MID(B2,FIND(" monitor ",B2)+9,FIND(" ",B2,FIND(" monitor ",B2)+9)-FIND(" monitor ",B2)-9),"")</calculatedColumnFormula>
    </tableColumn>
    <tableColumn id="9" xr3:uid="{1A8245D0-38FE-451A-B2A6-E8C0FDE2A989}" name="POOL MEMBERS (WRAP TEXT TO VIEW MULTILINE)" dataDxfId="29">
      <calculatedColumnFormula>SUBSTITUTE(MID(A2,FIND(" members { ",A2)+11,FIND("} }",A2,FIND(" members { ",A2)+11)-FIND(" members { ",A2)-11),"} /","}"&amp;CHAR(10)&amp;"/")</calculatedColumnFormula>
    </tableColumn>
    <tableColumn id="2" xr3:uid="{5ACDE82D-9130-46E9-9792-653319848F57}" name="POOL MEMBER COUNT" dataDxfId="28">
      <calculatedColumnFormula>LEN(K2)-LEN(SUBSTITUTE(K2,"order","orde"))</calculatedColumnFormula>
    </tableColumn>
  </tableColumns>
  <tableStyleInfo name="TableStyleLight9" showFirstColumn="0" showLastColumn="0" showRowStripes="1" showColumnStripes="1"/>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1A76BFD-1A91-491C-991E-E1C825860386}" name="gtmwideip" displayName="gtmwideip" ref="A1:I2" totalsRowShown="0" headerRowDxfId="27" dataDxfId="26">
  <tableColumns count="9">
    <tableColumn id="1" xr3:uid="{EEA287D6-FFFF-4C1D-96DC-63F3459F9B50}" name="PASTE ONE LINE CONFIG HERE" dataDxfId="25"/>
    <tableColumn id="4" xr3:uid="{F3C140AC-A5A7-4341-8573-C73AECAA670A}" name="Substitute last } with &quot; }&quot;" dataDxfId="24">
      <calculatedColumnFormula>SUBSTITUTE(A2,"}"," }",LEN(A2)-(LEN(SUBSTITUTE(A2,"}",""))))</calculatedColumnFormula>
    </tableColumn>
    <tableColumn id="11" xr3:uid="{DF7F9DB6-0F14-4154-9489-C87FE721429D}" name="RECORD TYPE" dataDxfId="23">
      <calculatedColumnFormula>MID(A2,FIND("wideip ",A2)+7,FIND(" ",A2,FIND("wideip ",A2)+7)-FIND("wideip ",A2)-7)</calculatedColumnFormula>
    </tableColumn>
    <tableColumn id="19" xr3:uid="{B12B154F-A0CD-4DCA-BB8E-0E3CE84B20A9}" name="RECORD" dataDxfId="22">
      <calculatedColumnFormula>MID(A2,FIND(" a ",A2)+3,FIND(" ",A2,FIND(" a ",A2)+3)-FIND(" a ",A2)-3)</calculatedColumnFormula>
    </tableColumn>
    <tableColumn id="3" xr3:uid="{3FBE9B97-76CE-4D96-A047-F267026F1639}" name="PERSISTENCE" dataDxfId="21">
      <calculatedColumnFormula>IFERROR(MID(A2,FIND(" persistence ",A2)+13,FIND(" ",A2,FIND(" persistence ",A2)+13)-FIND(" persistence ",A2)-13),"")</calculatedColumnFormula>
    </tableColumn>
    <tableColumn id="6" xr3:uid="{7ABB857F-3AE1-43DF-AE7C-1DBC1BB126CA}" name="WIDE IP LOAD BALANCING MODE" dataDxfId="20">
      <calculatedColumnFormula>IFERROR(MID(A2,FIND(" pool-lb-mode ",A2)+14,FIND(" ",A2,FIND(" pool-lb-mode ",A2)+14)-FIND(" pool-lb-mode ",A2)-14),"")</calculatedColumnFormula>
    </tableColumn>
    <tableColumn id="15" xr3:uid="{483B5D48-30EB-4E8D-AD13-6B4F4C73ED28}" name="TTL PERSISTENCE" dataDxfId="19">
      <calculatedColumnFormula>IFERROR(MID(A2,FIND(" ttl-persistence ",A2)+17,FIND(" ",A2,FIND(" ttl-persistence ",A2)+17)-FIND(" ttl-persistence ",A2)-17),"")</calculatedColumnFormula>
    </tableColumn>
    <tableColumn id="9" xr3:uid="{136CC5DB-8716-42ED-9C41-838CEED9DDA7}" name="POOL" dataDxfId="18">
      <calculatedColumnFormula>MID(A2,FIND(" pools { ",A2)+9,FIND("} }",A2,FIND(" pools { ",A2)+9)-FIND(" pools { ",A2)-9)</calculatedColumnFormula>
    </tableColumn>
    <tableColumn id="2" xr3:uid="{B29D7691-2D1C-4EF1-9042-B79C34C02E8A}" name="POOL COUNT" dataDxfId="17">
      <calculatedColumnFormula>LEN(H2)-LEN(SUBSTITUTE(H2,"order","orde"))</calculatedColumnFormula>
    </tableColumn>
  </tableColumns>
  <tableStyleInfo name="TableStyleLight9" showFirstColumn="0" showLastColumn="0" showRowStripes="1" showColumnStripes="1"/>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DB0EE7B-DF5C-471A-96DD-EB6691C65293}" name="ASM" displayName="ASM" ref="A1:I2" totalsRowShown="0" headerRowDxfId="16" dataDxfId="15">
  <tableColumns count="9">
    <tableColumn id="4" xr3:uid="{54B57192-52E6-495B-B21B-57ACF99485DD}" name="PASTE ONE LINE CONFIG HERE" dataDxfId="14"/>
    <tableColumn id="1" xr3:uid="{2FDCC15A-64E8-4725-B3E1-CB47AE28CB81}" name="POLICY NAME" dataDxfId="13">
      <calculatedColumnFormula>MID(A2,FIND("""",A2)+1,FIND("""",A2,FIND("""",A2)+1)-FIND("""",A2)-1)</calculatedColumnFormula>
    </tableColumn>
    <tableColumn id="2" xr3:uid="{5C7EC4DC-37AE-4C55-80A0-F1D64B7FED93}" name="POLICY NAME WITH ASM PREFIX" dataDxfId="12">
      <calculatedColumnFormula>SUBSTITUTE(ASM[[#This Row],[POLICY NAME]],"/Common/","/Common/ASM_")</calculatedColumnFormula>
    </tableColumn>
    <tableColumn id="3" xr3:uid="{196B8B9B-35F9-45B2-B061-43DF4B2E8E2F}" name="PROFILE TYPE" dataDxfId="11">
      <calculatedColumnFormula>"asm"</calculatedColumnFormula>
    </tableColumn>
    <tableColumn id="5" xr3:uid="{AF7696C1-6653-4128-99AA-86B19E16264C}" name="ASM POLICY NAME" dataDxfId="10">
      <calculatedColumnFormula>_xlfn.TEXTBEFORE(_xlfn.TEXTAFTER(SUBSTITUTE(SUBSTITUTE($A2,",","@",2),",","~",2), "@"), "~")</calculatedColumnFormula>
    </tableColumn>
    <tableColumn id="9" xr3:uid="{D782BEFF-2D96-4710-9429-C26762E0019B}" name="POLICY ID" dataDxfId="0">
      <calculatedColumnFormula>_xlfn.TEXTBEFORE(_xlfn.TEXTAFTER(SUBSTITUTE(SUBSTITUTE($A2,",","@",3),",","~",3), "@"), "~")</calculatedColumnFormula>
    </tableColumn>
    <tableColumn id="8" xr3:uid="{BDF055B4-516C-4944-8647-9BA6EF95DD0C}" name="POLICY TEMPLATE" dataDxfId="7">
      <calculatedColumnFormula>_xlfn.TEXTBEFORE(_xlfn.TEXTAFTER(SUBSTITUTE(SUBSTITUTE($A2,",","@",4),",","~",4), "@"), "~")</calculatedColumnFormula>
    </tableColumn>
    <tableColumn id="7" xr3:uid="{609743E3-295A-4D5E-B217-E2B33A2726C8}" name="LAST MODIFIED BY" dataDxfId="8">
      <calculatedColumnFormula>_xlfn.TEXTBEFORE(_xlfn.TEXTAFTER(SUBSTITUTE(SUBSTITUTE($A2,",","@",6),",","~",6), "@"), "~")</calculatedColumnFormula>
    </tableColumn>
    <tableColumn id="6" xr3:uid="{A41F8E93-0D56-4BE2-BC21-0BD5A0B8D458}" name="LANGUAGE" dataDxfId="9">
      <calculatedColumnFormula>_xlfn.TEXTBEFORE(_xlfn.TEXTAFTER(SUBSTITUTE(SUBSTITUTE($A2,",","@",16),",","~",16), "@"), "~")</calculatedColumnFormula>
    </tableColumn>
  </tableColumns>
  <tableStyleInfo name="TableStyleLight9" showFirstColumn="0" showLastColumn="0" showRowStripes="1"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upport.f5.com/csp/article/K9908" TargetMode="External"/><Relationship Id="rId13" Type="http://schemas.openxmlformats.org/officeDocument/2006/relationships/hyperlink" Target="https://support.f5.com/csp/article/K14206" TargetMode="External"/><Relationship Id="rId18" Type="http://schemas.openxmlformats.org/officeDocument/2006/relationships/hyperlink" Target="https://support.f5.com/csp/article/K13080" TargetMode="External"/><Relationship Id="rId3" Type="http://schemas.openxmlformats.org/officeDocument/2006/relationships/hyperlink" Target="https://support.f5.com/csp/article/K9908" TargetMode="External"/><Relationship Id="rId7" Type="http://schemas.openxmlformats.org/officeDocument/2006/relationships/hyperlink" Target="https://support.f5.com/csp/article/K9908" TargetMode="External"/><Relationship Id="rId12" Type="http://schemas.openxmlformats.org/officeDocument/2006/relationships/hyperlink" Target="https://support.f5.com/csp/article/K5380" TargetMode="External"/><Relationship Id="rId17" Type="http://schemas.openxmlformats.org/officeDocument/2006/relationships/hyperlink" Target="https://support.f5.com/csp/article/K13625" TargetMode="External"/><Relationship Id="rId2" Type="http://schemas.openxmlformats.org/officeDocument/2006/relationships/hyperlink" Target="https://support.f5.com/csp/article/K67025432" TargetMode="External"/><Relationship Id="rId16" Type="http://schemas.openxmlformats.org/officeDocument/2006/relationships/hyperlink" Target="https://support.f5.com/csp/article/K13535" TargetMode="External"/><Relationship Id="rId20" Type="http://schemas.openxmlformats.org/officeDocument/2006/relationships/table" Target="../tables/table1.xml"/><Relationship Id="rId1" Type="http://schemas.openxmlformats.org/officeDocument/2006/relationships/hyperlink" Target="https://support.f5.com/csp/article/K15497" TargetMode="External"/><Relationship Id="rId6" Type="http://schemas.openxmlformats.org/officeDocument/2006/relationships/hyperlink" Target="https://support.f5.com/csp/article/K6068" TargetMode="External"/><Relationship Id="rId11" Type="http://schemas.openxmlformats.org/officeDocument/2006/relationships/hyperlink" Target="https://support.f5.com/csp/article/K80425458" TargetMode="External"/><Relationship Id="rId5" Type="http://schemas.openxmlformats.org/officeDocument/2006/relationships/hyperlink" Target="https://support.f5.com/csp/article/K13309" TargetMode="External"/><Relationship Id="rId15" Type="http://schemas.openxmlformats.org/officeDocument/2006/relationships/hyperlink" Target="https://support.f5.com/csp/article/K05645522" TargetMode="External"/><Relationship Id="rId10" Type="http://schemas.openxmlformats.org/officeDocument/2006/relationships/hyperlink" Target="https://support.f5.com/csp/article/K80425458" TargetMode="External"/><Relationship Id="rId19" Type="http://schemas.openxmlformats.org/officeDocument/2006/relationships/printerSettings" Target="../printerSettings/printerSettings1.bin"/><Relationship Id="rId4" Type="http://schemas.openxmlformats.org/officeDocument/2006/relationships/hyperlink" Target="https://support.f5.com/csp/article/K02321234" TargetMode="External"/><Relationship Id="rId9" Type="http://schemas.openxmlformats.org/officeDocument/2006/relationships/hyperlink" Target="https://support.f5.com/csp/article/K9908" TargetMode="External"/><Relationship Id="rId14" Type="http://schemas.openxmlformats.org/officeDocument/2006/relationships/hyperlink" Target="https://support.f5.com/csp/article/K17333"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33.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34.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printerSettings" Target="../printerSettings/printerSettings35.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36.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37.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38.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39.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printerSettings" Target="../printerSettings/printerSettings40.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printerSettings" Target="../printerSettings/printerSettings41.bin"/></Relationships>
</file>

<file path=xl/worksheets/_rels/sheet52.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printerSettings" Target="../printerSettings/printerSettings42.bin"/></Relationships>
</file>

<file path=xl/worksheets/_rels/sheet53.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printerSettings" Target="../printerSettings/printerSettings43.bin"/></Relationships>
</file>

<file path=xl/worksheets/_rels/sheet54.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44.bin"/></Relationships>
</file>

<file path=xl/worksheets/_rels/sheet56.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8.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45.bin"/></Relationships>
</file>

<file path=xl/worksheets/_rels/sheet59.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46.bin"/></Relationships>
</file>

<file path=xl/worksheets/_rels/sheet60.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printerSettings" Target="../printerSettings/printerSettings47.bin"/></Relationships>
</file>

<file path=xl/worksheets/_rels/sheet61.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48.bin"/></Relationships>
</file>

<file path=xl/worksheets/_rels/sheet62.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49.bin"/></Relationships>
</file>

<file path=xl/worksheets/_rels/sheet63.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50.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printerSettings" Target="../printerSettings/printerSettings51.bin"/></Relationships>
</file>

<file path=xl/worksheets/_rels/sheet65.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printerSettings" Target="../printerSettings/printerSettings52.bin"/></Relationships>
</file>

<file path=xl/worksheets/_rels/sheet66.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printerSettings" Target="../printerSettings/printerSettings53.bin"/></Relationships>
</file>

<file path=xl/worksheets/_rels/sheet68.xml.rels><?xml version="1.0" encoding="UTF-8" standalone="yes"?>
<Relationships xmlns="http://schemas.openxmlformats.org/package/2006/relationships"><Relationship Id="rId1" Type="http://schemas.openxmlformats.org/officeDocument/2006/relationships/table" Target="../tables/table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7BC1-0204-4CFF-B4C3-43037A85BC1B}">
  <dimension ref="A1:J82"/>
  <sheetViews>
    <sheetView showGridLines="0" zoomScale="85" zoomScaleNormal="85" workbookViewId="0">
      <pane ySplit="1" topLeftCell="A2" activePane="bottomLeft" state="frozen"/>
      <selection pane="bottomLeft" activeCell="A2" sqref="A2"/>
    </sheetView>
  </sheetViews>
  <sheetFormatPr defaultColWidth="9.21875" defaultRowHeight="10.8" outlineLevelRow="1" x14ac:dyDescent="0.3"/>
  <cols>
    <col min="1" max="1" width="29.21875" style="14" bestFit="1" customWidth="1"/>
    <col min="2" max="3" width="40.77734375" style="15" customWidth="1"/>
    <col min="4" max="4" width="83.77734375" style="13" bestFit="1" customWidth="1"/>
    <col min="5" max="5" width="22.21875" style="13" customWidth="1"/>
    <col min="6" max="9" width="30.77734375" style="13" customWidth="1"/>
    <col min="10" max="10" width="33.21875" style="13" bestFit="1" customWidth="1"/>
    <col min="11" max="16384" width="9.21875" style="13"/>
  </cols>
  <sheetData>
    <row r="1" spans="1:10" ht="41.4" x14ac:dyDescent="0.25">
      <c r="A1" s="20" t="s">
        <v>576</v>
      </c>
      <c r="B1" s="21" t="s">
        <v>131</v>
      </c>
      <c r="C1" s="21" t="s">
        <v>412</v>
      </c>
      <c r="D1" s="22" t="s">
        <v>132</v>
      </c>
      <c r="E1" s="22" t="s">
        <v>290</v>
      </c>
      <c r="F1" s="22" t="s">
        <v>133</v>
      </c>
      <c r="G1" s="22" t="s">
        <v>134</v>
      </c>
      <c r="H1" s="22" t="s">
        <v>135</v>
      </c>
      <c r="I1" s="22" t="s">
        <v>136</v>
      </c>
      <c r="J1" s="23" t="s">
        <v>137</v>
      </c>
    </row>
    <row r="2" spans="1:10" ht="16.8" x14ac:dyDescent="0.3">
      <c r="A2" s="18" t="s">
        <v>138</v>
      </c>
      <c r="B2" s="26"/>
      <c r="C2" s="26"/>
      <c r="D2" s="27"/>
      <c r="E2" s="27"/>
      <c r="F2" s="27"/>
      <c r="G2" s="27"/>
      <c r="H2" s="27"/>
      <c r="I2" s="27"/>
      <c r="J2" s="28"/>
    </row>
    <row r="3" spans="1:10" s="31" customFormat="1" ht="13.8" outlineLevel="1" x14ac:dyDescent="0.3">
      <c r="A3" s="30" t="s">
        <v>107</v>
      </c>
      <c r="B3" s="24" t="e" cm="1">
        <f t="array" ref="B3">Hostname[HOSTNAME]</f>
        <v>#VALUE!</v>
      </c>
      <c r="C3" s="24"/>
      <c r="D3" s="25" t="s">
        <v>238</v>
      </c>
      <c r="E3" s="25" t="s">
        <v>238</v>
      </c>
      <c r="F3" s="25" t="s">
        <v>238</v>
      </c>
      <c r="G3" s="25" t="s">
        <v>238</v>
      </c>
      <c r="H3" s="25" t="s">
        <v>238</v>
      </c>
      <c r="I3" s="25" t="s">
        <v>238</v>
      </c>
      <c r="J3" s="25" t="s">
        <v>238</v>
      </c>
    </row>
    <row r="4" spans="1:10" s="31" customFormat="1" ht="27.6" outlineLevel="1" x14ac:dyDescent="0.3">
      <c r="A4" s="30" t="s">
        <v>108</v>
      </c>
      <c r="B4" s="24" t="e" cm="1">
        <f t="array" ref="B4">IFERROR(MgmtIP[MGMT IP],'cmdevice'!K2)</f>
        <v>#VALUE!</v>
      </c>
      <c r="C4" s="24"/>
      <c r="D4" s="25" t="s">
        <v>238</v>
      </c>
      <c r="E4" s="25" t="s">
        <v>238</v>
      </c>
      <c r="F4" s="25" t="s">
        <v>238</v>
      </c>
      <c r="G4" s="25" t="s">
        <v>238</v>
      </c>
      <c r="H4" s="25" t="s">
        <v>238</v>
      </c>
      <c r="I4" s="25" t="s">
        <v>238</v>
      </c>
      <c r="J4" s="25" t="s">
        <v>238</v>
      </c>
    </row>
    <row r="5" spans="1:10" s="31" customFormat="1" ht="27.6" outlineLevel="1" x14ac:dyDescent="0.3">
      <c r="A5" s="30" t="s">
        <v>109</v>
      </c>
      <c r="B5" s="24" t="e" cm="1">
        <f t="array" ref="B5">MgmtIP[CIDR]</f>
        <v>#VALUE!</v>
      </c>
      <c r="C5" s="24"/>
      <c r="D5" s="25" t="s">
        <v>238</v>
      </c>
      <c r="E5" s="25" t="s">
        <v>238</v>
      </c>
      <c r="F5" s="25" t="s">
        <v>238</v>
      </c>
      <c r="G5" s="25" t="s">
        <v>238</v>
      </c>
      <c r="H5" s="25" t="s">
        <v>238</v>
      </c>
      <c r="I5" s="25" t="s">
        <v>238</v>
      </c>
      <c r="J5" s="25" t="s">
        <v>238</v>
      </c>
    </row>
    <row r="6" spans="1:10" s="31" customFormat="1" ht="13.8" outlineLevel="1" x14ac:dyDescent="0.3">
      <c r="A6" s="30" t="s">
        <v>130</v>
      </c>
      <c r="B6" s="24" t="e">
        <f>_xlfn.XLOOKUP("sys management-route /Common/default*",MgmtRoute[PASTE ONE LINE CONFIG HERE],MgmtRoute[GATEWAY IP],,2)</f>
        <v>#N/A</v>
      </c>
      <c r="C6" s="24"/>
      <c r="D6" s="25" t="s">
        <v>238</v>
      </c>
      <c r="E6" s="25" t="s">
        <v>238</v>
      </c>
      <c r="F6" s="25" t="s">
        <v>238</v>
      </c>
      <c r="G6" s="25" t="s">
        <v>238</v>
      </c>
      <c r="H6" s="25" t="s">
        <v>238</v>
      </c>
      <c r="I6" s="25" t="s">
        <v>238</v>
      </c>
      <c r="J6" s="25" t="s">
        <v>238</v>
      </c>
    </row>
    <row r="7" spans="1:10" s="31" customFormat="1" ht="13.8" outlineLevel="1" x14ac:dyDescent="0.3">
      <c r="A7" s="30" t="s">
        <v>110</v>
      </c>
      <c r="B7" s="24" t="str">
        <f>SUBSTITUTE(_xlfn.CONCAT(Provision[PASTE ONE LINE CONFIG HERE]),"}s","}"&amp;CHAR(10)&amp;"s")</f>
        <v/>
      </c>
      <c r="C7" s="24"/>
      <c r="D7" s="25" t="s">
        <v>238</v>
      </c>
      <c r="E7" s="25" t="s">
        <v>238</v>
      </c>
      <c r="F7" s="25" t="s">
        <v>238</v>
      </c>
      <c r="G7" s="25" t="s">
        <v>238</v>
      </c>
      <c r="H7" s="25" t="s">
        <v>238</v>
      </c>
      <c r="I7" s="25" t="s">
        <v>238</v>
      </c>
      <c r="J7" s="25" t="s">
        <v>238</v>
      </c>
    </row>
    <row r="8" spans="1:10" s="31" customFormat="1" ht="13.8" outlineLevel="1" x14ac:dyDescent="0.3">
      <c r="A8" s="30" t="s">
        <v>355</v>
      </c>
      <c r="B8" s="24" t="e">
        <f>'cmdevice'!R2</f>
        <v>#VALUE!</v>
      </c>
      <c r="C8" s="24"/>
      <c r="D8" s="25" t="s">
        <v>238</v>
      </c>
      <c r="E8" s="25" t="s">
        <v>238</v>
      </c>
      <c r="F8" s="25" t="s">
        <v>238</v>
      </c>
      <c r="G8" s="25" t="s">
        <v>238</v>
      </c>
      <c r="H8" s="25" t="s">
        <v>238</v>
      </c>
      <c r="I8" s="25" t="s">
        <v>238</v>
      </c>
      <c r="J8" s="25" t="s">
        <v>238</v>
      </c>
    </row>
    <row r="9" spans="1:10" s="31" customFormat="1" ht="13.8" outlineLevel="1" x14ac:dyDescent="0.3">
      <c r="A9" s="30" t="s">
        <v>356</v>
      </c>
      <c r="B9" s="24" t="e">
        <f>'cmdevice'!F2</f>
        <v>#VALUE!</v>
      </c>
      <c r="C9" s="24"/>
      <c r="D9" s="25" t="s">
        <v>238</v>
      </c>
      <c r="E9" s="25" t="s">
        <v>238</v>
      </c>
      <c r="F9" s="25" t="s">
        <v>238</v>
      </c>
      <c r="G9" s="25" t="s">
        <v>238</v>
      </c>
      <c r="H9" s="25" t="s">
        <v>238</v>
      </c>
      <c r="I9" s="25" t="s">
        <v>238</v>
      </c>
      <c r="J9" s="25" t="s">
        <v>238</v>
      </c>
    </row>
    <row r="10" spans="1:10" s="31" customFormat="1" ht="13.8" outlineLevel="1" x14ac:dyDescent="0.3">
      <c r="A10" s="30" t="s">
        <v>357</v>
      </c>
      <c r="B10" s="24" t="e">
        <f>VLOOKUP("/common/"&amp;B3,CMDevice[[#All],[cm device ]:[ chassis-id ]],5,FALSE)</f>
        <v>#VALUE!</v>
      </c>
      <c r="C10" s="24"/>
      <c r="D10" s="25" t="s">
        <v>238</v>
      </c>
      <c r="E10" s="25" t="s">
        <v>238</v>
      </c>
      <c r="F10" s="25" t="s">
        <v>238</v>
      </c>
      <c r="G10" s="25" t="s">
        <v>238</v>
      </c>
      <c r="H10" s="25" t="s">
        <v>238</v>
      </c>
      <c r="I10" s="25" t="s">
        <v>238</v>
      </c>
      <c r="J10" s="25" t="s">
        <v>238</v>
      </c>
    </row>
    <row r="11" spans="1:10" ht="16.8" x14ac:dyDescent="0.3">
      <c r="A11" s="18" t="s">
        <v>384</v>
      </c>
      <c r="B11" s="26"/>
      <c r="C11" s="26"/>
      <c r="D11" s="27"/>
      <c r="E11" s="27"/>
      <c r="F11" s="27"/>
      <c r="G11" s="27"/>
      <c r="H11" s="27"/>
      <c r="I11" s="27"/>
      <c r="J11" s="28"/>
    </row>
    <row r="12" spans="1:10" s="31" customFormat="1" ht="13.8" outlineLevel="1" x14ac:dyDescent="0.3">
      <c r="A12" s="30" t="s">
        <v>89</v>
      </c>
      <c r="B12" s="24" t="e">
        <f>VLOOKUP("server.crt",DeviceCertificateDetails[],3,FALSE)</f>
        <v>#N/A</v>
      </c>
      <c r="C12" s="24"/>
      <c r="D12" s="25" t="s">
        <v>238</v>
      </c>
      <c r="E12" s="25" t="s">
        <v>238</v>
      </c>
      <c r="F12" s="25" t="s">
        <v>238</v>
      </c>
      <c r="G12" s="25" t="s">
        <v>238</v>
      </c>
      <c r="H12" s="25" t="s">
        <v>238</v>
      </c>
      <c r="I12" s="25" t="s">
        <v>238</v>
      </c>
      <c r="J12" s="25" t="s">
        <v>238</v>
      </c>
    </row>
    <row r="13" spans="1:10" s="31" customFormat="1" ht="13.8" outlineLevel="1" x14ac:dyDescent="0.3">
      <c r="A13" s="30" t="s">
        <v>371</v>
      </c>
      <c r="B13" s="24" t="e">
        <f>VLOOKUP("server.crt",DeviceCertificateDetails[],4,FALSE)</f>
        <v>#N/A</v>
      </c>
      <c r="C13" s="24"/>
      <c r="D13" s="25" t="s">
        <v>238</v>
      </c>
      <c r="E13" s="25" t="s">
        <v>238</v>
      </c>
      <c r="F13" s="25" t="s">
        <v>238</v>
      </c>
      <c r="G13" s="25" t="s">
        <v>238</v>
      </c>
      <c r="H13" s="25" t="s">
        <v>238</v>
      </c>
      <c r="I13" s="25" t="s">
        <v>238</v>
      </c>
      <c r="J13" s="25" t="s">
        <v>238</v>
      </c>
    </row>
    <row r="14" spans="1:10" s="31" customFormat="1" ht="13.8" outlineLevel="1" x14ac:dyDescent="0.3">
      <c r="A14" s="30" t="s">
        <v>385</v>
      </c>
      <c r="B14" s="32" t="e">
        <f>VLOOKUP("server.crt",DeviceCertificateDetails[],7,FALSE)</f>
        <v>#N/A</v>
      </c>
      <c r="C14" s="24"/>
      <c r="D14" s="25" t="s">
        <v>238</v>
      </c>
      <c r="E14" s="25" t="s">
        <v>238</v>
      </c>
      <c r="F14" s="25" t="s">
        <v>238</v>
      </c>
      <c r="G14" s="25" t="s">
        <v>238</v>
      </c>
      <c r="H14" s="25" t="s">
        <v>238</v>
      </c>
      <c r="I14" s="25" t="s">
        <v>238</v>
      </c>
      <c r="J14" s="25" t="s">
        <v>238</v>
      </c>
    </row>
    <row r="15" spans="1:10" s="31" customFormat="1" ht="13.8" outlineLevel="1" x14ac:dyDescent="0.3">
      <c r="A15" s="30" t="s">
        <v>91</v>
      </c>
      <c r="B15" s="24" t="e">
        <f>VLOOKUP("server.crt",DeviceCertificateDetails[],8,FALSE)</f>
        <v>#N/A</v>
      </c>
      <c r="C15" s="24"/>
      <c r="D15" s="25" t="s">
        <v>238</v>
      </c>
      <c r="E15" s="25" t="s">
        <v>238</v>
      </c>
      <c r="F15" s="25" t="s">
        <v>238</v>
      </c>
      <c r="G15" s="25" t="s">
        <v>238</v>
      </c>
      <c r="H15" s="25" t="s">
        <v>238</v>
      </c>
      <c r="I15" s="25" t="s">
        <v>238</v>
      </c>
      <c r="J15" s="25" t="s">
        <v>238</v>
      </c>
    </row>
    <row r="16" spans="1:10" s="31" customFormat="1" ht="16.8" outlineLevel="1" x14ac:dyDescent="0.3">
      <c r="A16" s="18" t="s">
        <v>413</v>
      </c>
      <c r="B16" s="26"/>
      <c r="C16" s="26"/>
      <c r="D16" s="27"/>
      <c r="E16" s="27"/>
      <c r="F16" s="27"/>
      <c r="G16" s="27"/>
      <c r="H16" s="27"/>
      <c r="I16" s="27"/>
      <c r="J16" s="28"/>
    </row>
    <row r="17" spans="1:10" s="31" customFormat="1" ht="13.8" outlineLevel="1" x14ac:dyDescent="0.3">
      <c r="A17" s="30" t="s">
        <v>577</v>
      </c>
      <c r="B17" s="24">
        <f>COUNTA(CMDevice[PASTE ONE LINE CONFIG HERE])</f>
        <v>0</v>
      </c>
      <c r="C17" s="24"/>
      <c r="D17" s="25" t="s">
        <v>238</v>
      </c>
      <c r="E17" s="25" t="s">
        <v>238</v>
      </c>
      <c r="F17" s="25" t="s">
        <v>238</v>
      </c>
      <c r="G17" s="25" t="s">
        <v>238</v>
      </c>
      <c r="H17" s="25" t="s">
        <v>238</v>
      </c>
      <c r="I17" s="25" t="s">
        <v>238</v>
      </c>
      <c r="J17" s="25" t="s">
        <v>238</v>
      </c>
    </row>
    <row r="18" spans="1:10" ht="16.8" x14ac:dyDescent="0.3">
      <c r="A18" s="18" t="s">
        <v>578</v>
      </c>
      <c r="B18" s="26"/>
      <c r="C18" s="26"/>
      <c r="D18" s="27"/>
      <c r="E18" s="27"/>
      <c r="F18" s="27"/>
      <c r="G18" s="27"/>
      <c r="H18" s="27"/>
      <c r="I18" s="27"/>
      <c r="J18" s="28"/>
    </row>
    <row r="19" spans="1:10" s="31" customFormat="1" ht="13.8" outlineLevel="1" x14ac:dyDescent="0.3">
      <c r="A19" s="30" t="s">
        <v>362</v>
      </c>
      <c r="B19" s="24">
        <f>COUNTA(VLAN[PASTE ONE LINE CONFIG HERE])</f>
        <v>0</v>
      </c>
      <c r="C19" s="24"/>
      <c r="D19" s="25" t="s">
        <v>238</v>
      </c>
      <c r="E19" s="25" t="s">
        <v>238</v>
      </c>
      <c r="F19" s="25" t="s">
        <v>238</v>
      </c>
      <c r="G19" s="25" t="s">
        <v>238</v>
      </c>
      <c r="H19" s="25" t="s">
        <v>238</v>
      </c>
      <c r="I19" s="25" t="s">
        <v>238</v>
      </c>
      <c r="J19" s="25" t="s">
        <v>238</v>
      </c>
    </row>
    <row r="20" spans="1:10" s="31" customFormat="1" ht="13.8" outlineLevel="1" x14ac:dyDescent="0.3">
      <c r="A20" s="30" t="s">
        <v>363</v>
      </c>
      <c r="B20" s="24">
        <f>COUNTA(SelfIP[PASTE ONE LINE CONFIG HERE])</f>
        <v>0</v>
      </c>
      <c r="C20" s="24"/>
      <c r="D20" s="25" t="s">
        <v>238</v>
      </c>
      <c r="E20" s="25" t="s">
        <v>238</v>
      </c>
      <c r="F20" s="25" t="s">
        <v>238</v>
      </c>
      <c r="G20" s="25" t="s">
        <v>238</v>
      </c>
      <c r="H20" s="25" t="s">
        <v>238</v>
      </c>
      <c r="I20" s="25" t="s">
        <v>238</v>
      </c>
      <c r="J20" s="25" t="s">
        <v>238</v>
      </c>
    </row>
    <row r="21" spans="1:10" s="31" customFormat="1" ht="13.8" outlineLevel="1" x14ac:dyDescent="0.3">
      <c r="A21" s="30" t="s">
        <v>579</v>
      </c>
      <c r="B21" s="24">
        <f>COUNTA(Route[PASTE ONE LINE CONFIG HERE])</f>
        <v>0</v>
      </c>
      <c r="C21" s="24"/>
      <c r="D21" s="25" t="s">
        <v>238</v>
      </c>
      <c r="E21" s="25" t="s">
        <v>238</v>
      </c>
      <c r="F21" s="25" t="s">
        <v>238</v>
      </c>
      <c r="G21" s="25" t="s">
        <v>238</v>
      </c>
      <c r="H21" s="25" t="s">
        <v>238</v>
      </c>
      <c r="I21" s="25" t="s">
        <v>238</v>
      </c>
      <c r="J21" s="25" t="s">
        <v>238</v>
      </c>
    </row>
    <row r="22" spans="1:10" s="31" customFormat="1" ht="13.8" outlineLevel="1" x14ac:dyDescent="0.3">
      <c r="A22" s="30" t="s">
        <v>580</v>
      </c>
      <c r="B22" s="24">
        <f>COUNTA(MgmtRoute[PASTE ONE LINE CONFIG HERE])</f>
        <v>0</v>
      </c>
      <c r="C22" s="24"/>
      <c r="D22" s="25" t="s">
        <v>238</v>
      </c>
      <c r="E22" s="25" t="s">
        <v>238</v>
      </c>
      <c r="F22" s="25" t="s">
        <v>238</v>
      </c>
      <c r="G22" s="25" t="s">
        <v>238</v>
      </c>
      <c r="H22" s="25" t="s">
        <v>238</v>
      </c>
      <c r="I22" s="25" t="s">
        <v>238</v>
      </c>
      <c r="J22" s="25" t="s">
        <v>238</v>
      </c>
    </row>
    <row r="23" spans="1:10" ht="16.8" x14ac:dyDescent="0.3">
      <c r="A23" s="18" t="s">
        <v>404</v>
      </c>
      <c r="B23" s="26"/>
      <c r="C23" s="26"/>
      <c r="D23" s="27"/>
      <c r="E23" s="27"/>
      <c r="F23" s="27"/>
      <c r="G23" s="27"/>
      <c r="H23" s="27"/>
      <c r="I23" s="27"/>
      <c r="J23" s="28"/>
    </row>
    <row r="24" spans="1:10" s="31" customFormat="1" ht="13.8" outlineLevel="1" x14ac:dyDescent="0.3">
      <c r="A24" s="30" t="s">
        <v>360</v>
      </c>
      <c r="B24" s="24">
        <f>COUNTA(VirtualServer[PASTE ONE LINE CONFIG HERE])</f>
        <v>0</v>
      </c>
      <c r="C24" s="24"/>
      <c r="D24" s="25" t="s">
        <v>238</v>
      </c>
      <c r="E24" s="25" t="s">
        <v>238</v>
      </c>
      <c r="F24" s="25" t="s">
        <v>238</v>
      </c>
      <c r="G24" s="25" t="s">
        <v>238</v>
      </c>
      <c r="H24" s="25" t="s">
        <v>238</v>
      </c>
      <c r="I24" s="25" t="s">
        <v>238</v>
      </c>
      <c r="J24" s="25" t="s">
        <v>238</v>
      </c>
    </row>
    <row r="25" spans="1:10" s="31" customFormat="1" ht="27.6" outlineLevel="1" x14ac:dyDescent="0.3">
      <c r="A25" s="30" t="s">
        <v>585</v>
      </c>
      <c r="B25" s="24">
        <f>COUNTIF(VirtualServer[SNAT],"type automap")</f>
        <v>0</v>
      </c>
      <c r="C25" s="24"/>
      <c r="D25" s="25" t="s">
        <v>238</v>
      </c>
      <c r="E25" s="25" t="s">
        <v>238</v>
      </c>
      <c r="F25" s="25" t="s">
        <v>238</v>
      </c>
      <c r="G25" s="25" t="s">
        <v>238</v>
      </c>
      <c r="H25" s="25" t="s">
        <v>238</v>
      </c>
      <c r="I25" s="25" t="s">
        <v>238</v>
      </c>
      <c r="J25" s="25" t="s">
        <v>238</v>
      </c>
    </row>
    <row r="26" spans="1:10" s="31" customFormat="1" ht="27.6" outlineLevel="1" x14ac:dyDescent="0.3">
      <c r="A26" s="30" t="s">
        <v>586</v>
      </c>
      <c r="B26" s="24">
        <f>COUNTIF(VirtualServer[SNAT],"*type snat*")</f>
        <v>0</v>
      </c>
      <c r="C26" s="24"/>
      <c r="D26" s="25" t="s">
        <v>238</v>
      </c>
      <c r="E26" s="25" t="s">
        <v>238</v>
      </c>
      <c r="F26" s="25" t="s">
        <v>238</v>
      </c>
      <c r="G26" s="25" t="s">
        <v>238</v>
      </c>
      <c r="H26" s="25" t="s">
        <v>238</v>
      </c>
      <c r="I26" s="25" t="s">
        <v>238</v>
      </c>
      <c r="J26" s="25" t="s">
        <v>238</v>
      </c>
    </row>
    <row r="27" spans="1:10" s="31" customFormat="1" ht="13.8" outlineLevel="1" x14ac:dyDescent="0.3">
      <c r="A27" s="30" t="s">
        <v>361</v>
      </c>
      <c r="B27" s="24">
        <f>COUNTA(Pool[PASTE ONE LINE CONFIG HERE])</f>
        <v>0</v>
      </c>
      <c r="C27" s="24"/>
      <c r="D27" s="25" t="s">
        <v>238</v>
      </c>
      <c r="E27" s="25" t="s">
        <v>238</v>
      </c>
      <c r="F27" s="25" t="s">
        <v>238</v>
      </c>
      <c r="G27" s="25" t="s">
        <v>238</v>
      </c>
      <c r="H27" s="25" t="s">
        <v>238</v>
      </c>
      <c r="I27" s="25" t="s">
        <v>238</v>
      </c>
      <c r="J27" s="25" t="s">
        <v>238</v>
      </c>
    </row>
    <row r="28" spans="1:10" s="31" customFormat="1" ht="13.8" outlineLevel="1" x14ac:dyDescent="0.3">
      <c r="A28" s="30" t="s">
        <v>584</v>
      </c>
      <c r="B28" s="24">
        <f>COUNTA(SNAT[PASTE ONE LINE CONFIG HERE])</f>
        <v>0</v>
      </c>
      <c r="C28" s="24"/>
      <c r="D28" s="25" t="s">
        <v>238</v>
      </c>
      <c r="E28" s="25" t="s">
        <v>238</v>
      </c>
      <c r="F28" s="25" t="s">
        <v>238</v>
      </c>
      <c r="G28" s="25" t="s">
        <v>238</v>
      </c>
      <c r="H28" s="25" t="s">
        <v>238</v>
      </c>
      <c r="I28" s="25" t="s">
        <v>238</v>
      </c>
      <c r="J28" s="25" t="s">
        <v>238</v>
      </c>
    </row>
    <row r="29" spans="1:10" s="31" customFormat="1" ht="13.8" outlineLevel="1" x14ac:dyDescent="0.3">
      <c r="A29" s="30" t="s">
        <v>583</v>
      </c>
      <c r="B29" s="24">
        <f>COUNTA(ClientSSL[PASTE ONE LINE CONFIG HERE])</f>
        <v>0</v>
      </c>
      <c r="C29" s="24"/>
      <c r="D29" s="25" t="s">
        <v>238</v>
      </c>
      <c r="E29" s="25" t="s">
        <v>238</v>
      </c>
      <c r="F29" s="25" t="s">
        <v>238</v>
      </c>
      <c r="G29" s="25" t="s">
        <v>238</v>
      </c>
      <c r="H29" s="25" t="s">
        <v>238</v>
      </c>
      <c r="I29" s="25" t="s">
        <v>238</v>
      </c>
      <c r="J29" s="25" t="s">
        <v>238</v>
      </c>
    </row>
    <row r="30" spans="1:10" s="31" customFormat="1" ht="13.8" outlineLevel="1" x14ac:dyDescent="0.3">
      <c r="A30" s="30" t="s">
        <v>581</v>
      </c>
      <c r="B30" s="24">
        <f>COUNTA(Cert[PASTE ONE LINE CONFIG HERE])</f>
        <v>0</v>
      </c>
      <c r="C30" s="24"/>
      <c r="D30" s="25" t="s">
        <v>238</v>
      </c>
      <c r="E30" s="25" t="s">
        <v>238</v>
      </c>
      <c r="F30" s="25" t="s">
        <v>238</v>
      </c>
      <c r="G30" s="25" t="s">
        <v>238</v>
      </c>
      <c r="H30" s="25" t="s">
        <v>238</v>
      </c>
      <c r="I30" s="25" t="s">
        <v>238</v>
      </c>
      <c r="J30" s="25" t="s">
        <v>238</v>
      </c>
    </row>
    <row r="31" spans="1:10" s="31" customFormat="1" ht="13.8" outlineLevel="1" x14ac:dyDescent="0.3">
      <c r="A31" s="30" t="s">
        <v>582</v>
      </c>
      <c r="B31" s="24">
        <f>COUNTA(Key[PASTE ONE LINE CONFIG HERE])</f>
        <v>0</v>
      </c>
      <c r="C31" s="24"/>
      <c r="D31" s="25" t="s">
        <v>238</v>
      </c>
      <c r="E31" s="25" t="s">
        <v>238</v>
      </c>
      <c r="F31" s="25" t="s">
        <v>238</v>
      </c>
      <c r="G31" s="25" t="s">
        <v>238</v>
      </c>
      <c r="H31" s="25" t="s">
        <v>238</v>
      </c>
      <c r="I31" s="25" t="s">
        <v>238</v>
      </c>
      <c r="J31" s="25" t="s">
        <v>238</v>
      </c>
    </row>
    <row r="32" spans="1:10" ht="16.8" x14ac:dyDescent="0.3">
      <c r="A32" s="18" t="s">
        <v>405</v>
      </c>
      <c r="B32" s="26"/>
      <c r="C32" s="26"/>
      <c r="D32" s="27"/>
      <c r="E32" s="27"/>
      <c r="F32" s="27"/>
      <c r="G32" s="27"/>
      <c r="H32" s="27"/>
      <c r="I32" s="27"/>
      <c r="J32" s="28"/>
    </row>
    <row r="33" spans="1:10" s="31" customFormat="1" ht="13.8" outlineLevel="1" x14ac:dyDescent="0.3">
      <c r="A33" s="30" t="s">
        <v>406</v>
      </c>
      <c r="B33" s="24">
        <f>COUNTA(gtmdatacenter[PASTE ONE LINE CONFIG HERE])</f>
        <v>0</v>
      </c>
      <c r="C33" s="24"/>
      <c r="D33" s="25" t="s">
        <v>238</v>
      </c>
      <c r="E33" s="25" t="s">
        <v>238</v>
      </c>
      <c r="F33" s="25" t="s">
        <v>238</v>
      </c>
      <c r="G33" s="25" t="s">
        <v>238</v>
      </c>
      <c r="H33" s="25" t="s">
        <v>238</v>
      </c>
      <c r="I33" s="25" t="s">
        <v>238</v>
      </c>
      <c r="J33" s="25" t="s">
        <v>238</v>
      </c>
    </row>
    <row r="34" spans="1:10" s="31" customFormat="1" ht="13.8" outlineLevel="1" x14ac:dyDescent="0.3">
      <c r="A34" s="30" t="s">
        <v>407</v>
      </c>
      <c r="B34" s="24">
        <f>COUNTA(gtmproberpool[PASTE ONE LINE CONFIG HERE])</f>
        <v>0</v>
      </c>
      <c r="C34" s="24"/>
      <c r="D34" s="25" t="s">
        <v>238</v>
      </c>
      <c r="E34" s="25" t="s">
        <v>238</v>
      </c>
      <c r="F34" s="25" t="s">
        <v>238</v>
      </c>
      <c r="G34" s="25" t="s">
        <v>238</v>
      </c>
      <c r="H34" s="25" t="s">
        <v>238</v>
      </c>
      <c r="I34" s="25" t="s">
        <v>238</v>
      </c>
      <c r="J34" s="25" t="s">
        <v>238</v>
      </c>
    </row>
    <row r="35" spans="1:10" s="31" customFormat="1" ht="13.8" outlineLevel="1" x14ac:dyDescent="0.3">
      <c r="A35" s="30" t="s">
        <v>408</v>
      </c>
      <c r="B35" s="24">
        <f>COUNTA(gtmserver[PASTE ONE LINE CONFIG HERE])</f>
        <v>0</v>
      </c>
      <c r="C35" s="24"/>
      <c r="D35" s="25" t="s">
        <v>238</v>
      </c>
      <c r="E35" s="25" t="s">
        <v>238</v>
      </c>
      <c r="F35" s="25" t="s">
        <v>238</v>
      </c>
      <c r="G35" s="25" t="s">
        <v>238</v>
      </c>
      <c r="H35" s="25" t="s">
        <v>238</v>
      </c>
      <c r="I35" s="25" t="s">
        <v>238</v>
      </c>
      <c r="J35" s="25" t="s">
        <v>238</v>
      </c>
    </row>
    <row r="36" spans="1:10" s="31" customFormat="1" ht="13.8" outlineLevel="1" x14ac:dyDescent="0.3">
      <c r="A36" s="30" t="s">
        <v>409</v>
      </c>
      <c r="B36" s="24">
        <f>COUNTA(gtmtopology[PASTE ONE LINE CONFIG HERE])</f>
        <v>0</v>
      </c>
      <c r="C36" s="24"/>
      <c r="D36" s="25" t="s">
        <v>238</v>
      </c>
      <c r="E36" s="25" t="s">
        <v>238</v>
      </c>
      <c r="F36" s="25" t="s">
        <v>238</v>
      </c>
      <c r="G36" s="25" t="s">
        <v>238</v>
      </c>
      <c r="H36" s="25" t="s">
        <v>238</v>
      </c>
      <c r="I36" s="25" t="s">
        <v>238</v>
      </c>
      <c r="J36" s="25" t="s">
        <v>238</v>
      </c>
    </row>
    <row r="37" spans="1:10" s="31" customFormat="1" ht="13.8" outlineLevel="1" x14ac:dyDescent="0.3">
      <c r="A37" s="30" t="s">
        <v>410</v>
      </c>
      <c r="B37" s="24">
        <f>COUNTA(gtmpool[PASTE ONE LINE CONFIG HERE])</f>
        <v>0</v>
      </c>
      <c r="C37" s="24"/>
      <c r="D37" s="25" t="s">
        <v>238</v>
      </c>
      <c r="E37" s="25" t="s">
        <v>238</v>
      </c>
      <c r="F37" s="25" t="s">
        <v>238</v>
      </c>
      <c r="G37" s="25" t="s">
        <v>238</v>
      </c>
      <c r="H37" s="25" t="s">
        <v>238</v>
      </c>
      <c r="I37" s="25" t="s">
        <v>238</v>
      </c>
      <c r="J37" s="25" t="s">
        <v>238</v>
      </c>
    </row>
    <row r="38" spans="1:10" s="31" customFormat="1" ht="13.8" outlineLevel="1" x14ac:dyDescent="0.3">
      <c r="A38" s="30" t="s">
        <v>411</v>
      </c>
      <c r="B38" s="24">
        <f>COUNTA(gtmwideip[PASTE ONE LINE CONFIG HERE])</f>
        <v>0</v>
      </c>
      <c r="C38" s="24"/>
      <c r="D38" s="25" t="s">
        <v>238</v>
      </c>
      <c r="E38" s="25" t="s">
        <v>238</v>
      </c>
      <c r="F38" s="25" t="s">
        <v>238</v>
      </c>
      <c r="G38" s="25" t="s">
        <v>238</v>
      </c>
      <c r="H38" s="25" t="s">
        <v>238</v>
      </c>
      <c r="I38" s="25" t="s">
        <v>238</v>
      </c>
      <c r="J38" s="25" t="s">
        <v>238</v>
      </c>
    </row>
    <row r="39" spans="1:10" ht="16.8" x14ac:dyDescent="0.3">
      <c r="A39" s="18" t="s">
        <v>140</v>
      </c>
      <c r="B39" s="26"/>
      <c r="C39" s="26"/>
      <c r="D39" s="27"/>
      <c r="E39" s="27"/>
      <c r="F39" s="27"/>
      <c r="G39" s="27"/>
      <c r="H39" s="27"/>
      <c r="I39" s="27"/>
      <c r="J39" s="28"/>
    </row>
    <row r="40" spans="1:10" s="31" customFormat="1" ht="193.2" outlineLevel="1" x14ac:dyDescent="0.3">
      <c r="A40" s="30" t="s">
        <v>114</v>
      </c>
      <c r="B40" s="24" t="e" cm="1">
        <f t="array" ref="B40">PasswordPolicy[Replace last } with " }"]</f>
        <v>#VALUE!</v>
      </c>
      <c r="C40" s="24" t="e">
        <f>SUBSTITUTE(SUBSTITUTE(SUBSTITUTE(SUBSTITUTE(SUBSTITUTE(SUBSTITUTE(SUBSTITUTE(SUBSTITUTE(SUBSTITUTE(SUBSTITUTE(SUBSTITUTE(SUBSTITUTE(SUBSTITUTE(B40," "," "&amp;CHAR(10),3)," "," "&amp;CHAR(10),5)," "," "&amp;CHAR(10),7)," "," "&amp;CHAR(10),9)," "," "&amp;CHAR(10),11)," "," "&amp;CHAR(10),13)," "," "&amp;CHAR(10),15)," "," "&amp;CHAR(10),17)," "," "&amp;CHAR(10),19)," "," "&amp;CHAR(10),21)," "," "&amp;CHAR(10),23)," "," "&amp;CHAR(10),25)," "," "&amp;CHAR(10),27)</f>
        <v>#VALUE!</v>
      </c>
      <c r="D40" s="25" t="s">
        <v>141</v>
      </c>
      <c r="E40" s="25"/>
      <c r="F40" s="25" t="s">
        <v>142</v>
      </c>
      <c r="G40" s="25" t="s">
        <v>143</v>
      </c>
      <c r="H40" s="25" t="s">
        <v>144</v>
      </c>
      <c r="I40" s="25" t="s">
        <v>145</v>
      </c>
      <c r="J40" s="19" t="s">
        <v>146</v>
      </c>
    </row>
    <row r="41" spans="1:10" ht="16.8" x14ac:dyDescent="0.3">
      <c r="A41" s="18" t="s">
        <v>147</v>
      </c>
      <c r="B41" s="26"/>
      <c r="C41" s="26"/>
      <c r="D41" s="27"/>
      <c r="E41" s="27"/>
      <c r="F41" s="27"/>
      <c r="G41" s="27"/>
      <c r="H41" s="27"/>
      <c r="I41" s="27"/>
      <c r="J41" s="28"/>
    </row>
    <row r="42" spans="1:10" s="31" customFormat="1" ht="165.6" outlineLevel="1" x14ac:dyDescent="0.3">
      <c r="A42" s="30" t="s">
        <v>374</v>
      </c>
      <c r="B42" s="24" t="e">
        <f>_xlfn.XLOOKUP("auth source*",Auth[PASTE ONE LINE CONFIG HERE],Auth[Replace last } with " }"],,2)</f>
        <v>#N/A</v>
      </c>
      <c r="C42" s="24" t="e">
        <f t="shared" ref="C42:C50" si="0">B42</f>
        <v>#N/A</v>
      </c>
      <c r="D42" s="25" t="s">
        <v>148</v>
      </c>
      <c r="E42" s="25"/>
      <c r="F42" s="25" t="s">
        <v>149</v>
      </c>
      <c r="G42" s="25" t="s">
        <v>150</v>
      </c>
      <c r="H42" s="25" t="s">
        <v>151</v>
      </c>
      <c r="I42" s="25" t="s">
        <v>152</v>
      </c>
      <c r="J42" s="33"/>
    </row>
    <row r="43" spans="1:10" s="31" customFormat="1" ht="96.6" outlineLevel="1" x14ac:dyDescent="0.3">
      <c r="A43" s="30" t="s">
        <v>376</v>
      </c>
      <c r="B43" s="24" t="e">
        <f>_xlfn.XLOOKUP("auth radius-server system_auth_name1*",Auth[PASTE ONE LINE CONFIG HERE],Auth[PASTE ONE LINE CONFIG HERE],,2)</f>
        <v>#N/A</v>
      </c>
      <c r="C43" s="24" t="e">
        <f t="shared" si="0"/>
        <v>#N/A</v>
      </c>
      <c r="D43" s="25" t="s">
        <v>153</v>
      </c>
      <c r="E43" s="25"/>
      <c r="F43" s="25" t="s">
        <v>154</v>
      </c>
      <c r="G43" s="25" t="s">
        <v>155</v>
      </c>
      <c r="H43" s="25" t="s">
        <v>156</v>
      </c>
      <c r="I43" s="25" t="s">
        <v>157</v>
      </c>
      <c r="J43" s="33"/>
    </row>
    <row r="44" spans="1:10" s="31" customFormat="1" ht="13.8" outlineLevel="1" x14ac:dyDescent="0.3">
      <c r="A44" s="30" t="s">
        <v>377</v>
      </c>
      <c r="B44" s="24" t="e">
        <f>_xlfn.XLOOKUP("auth radius-server system_auth_name2*",Auth[PASTE ONE LINE CONFIG HERE],Auth[PASTE ONE LINE CONFIG HERE],,2)</f>
        <v>#N/A</v>
      </c>
      <c r="C44" s="24" t="e">
        <f t="shared" si="0"/>
        <v>#N/A</v>
      </c>
      <c r="D44" s="25" t="s">
        <v>158</v>
      </c>
      <c r="E44" s="25"/>
      <c r="F44" s="25"/>
      <c r="G44" s="25"/>
      <c r="H44" s="25"/>
      <c r="I44" s="25"/>
      <c r="J44" s="33"/>
    </row>
    <row r="45" spans="1:10" s="31" customFormat="1" ht="69" outlineLevel="1" x14ac:dyDescent="0.3">
      <c r="A45" s="30" t="s">
        <v>375</v>
      </c>
      <c r="B45" s="24" t="e">
        <f>_xlfn.XLOOKUP("auth source*",Auth[PASTE ONE LINE CONFIG HERE],Auth[Replace last } with " }"],,2)</f>
        <v>#N/A</v>
      </c>
      <c r="C45" s="24" t="e">
        <f t="shared" si="0"/>
        <v>#N/A</v>
      </c>
      <c r="D45" s="25" t="s">
        <v>159</v>
      </c>
      <c r="E45" s="25"/>
      <c r="F45" s="25" t="s">
        <v>160</v>
      </c>
      <c r="G45" s="25" t="s">
        <v>161</v>
      </c>
      <c r="H45" s="25" t="s">
        <v>162</v>
      </c>
      <c r="I45" s="25" t="s">
        <v>163</v>
      </c>
      <c r="J45" s="19" t="s">
        <v>164</v>
      </c>
    </row>
    <row r="46" spans="1:10" s="31" customFormat="1" ht="69" outlineLevel="1" x14ac:dyDescent="0.3">
      <c r="A46" s="30" t="s">
        <v>379</v>
      </c>
      <c r="B46" s="24" t="e">
        <f>_xlfn.XLOOKUP("auth remote-user*",Auth[PASTE ONE LINE CONFIG HERE],Auth[PASTE ONE LINE CONFIG HERE],,2)</f>
        <v>#N/A</v>
      </c>
      <c r="C46" s="24" t="e">
        <f t="shared" si="0"/>
        <v>#N/A</v>
      </c>
      <c r="D46" s="25" t="s">
        <v>418</v>
      </c>
      <c r="E46" s="25"/>
      <c r="F46" s="25" t="s">
        <v>166</v>
      </c>
      <c r="G46" s="25" t="s">
        <v>167</v>
      </c>
      <c r="H46" s="25" t="s">
        <v>162</v>
      </c>
      <c r="I46" s="25" t="s">
        <v>168</v>
      </c>
      <c r="J46" s="19"/>
    </row>
    <row r="47" spans="1:10" s="31" customFormat="1" ht="82.8" outlineLevel="1" x14ac:dyDescent="0.3">
      <c r="A47" s="30" t="s">
        <v>378</v>
      </c>
      <c r="B47" s="24" t="e">
        <f>_xlfn.XLOOKUP("auth remote-role*",Auth[PASTE ONE LINE CONFIG HERE],Auth[PASTE ONE LINE CONFIG HERE],,2)</f>
        <v>#N/A</v>
      </c>
      <c r="C47" s="24" t="e">
        <f t="shared" si="0"/>
        <v>#N/A</v>
      </c>
      <c r="D47" s="25" t="s">
        <v>169</v>
      </c>
      <c r="E47" s="25"/>
      <c r="F47" s="25" t="s">
        <v>170</v>
      </c>
      <c r="G47" s="25" t="s">
        <v>171</v>
      </c>
      <c r="H47" s="25" t="s">
        <v>162</v>
      </c>
      <c r="I47" s="25" t="s">
        <v>172</v>
      </c>
      <c r="J47" s="19"/>
    </row>
    <row r="48" spans="1:10" s="31" customFormat="1" ht="41.4" outlineLevel="1" x14ac:dyDescent="0.3">
      <c r="A48" s="30" t="s">
        <v>380</v>
      </c>
      <c r="B48" s="24" t="e">
        <f>_xlfn.XLOOKUP("auth remote-user*",Auth[PASTE ONE LINE CONFIG HERE],Auth[PASTE ONE LINE CONFIG HERE],,2)</f>
        <v>#N/A</v>
      </c>
      <c r="C48" s="24" t="e">
        <f t="shared" si="0"/>
        <v>#N/A</v>
      </c>
      <c r="D48" s="25" t="s">
        <v>165</v>
      </c>
      <c r="E48" s="25"/>
      <c r="F48" s="25" t="s">
        <v>173</v>
      </c>
      <c r="G48" s="25" t="s">
        <v>174</v>
      </c>
      <c r="H48" s="25" t="s">
        <v>162</v>
      </c>
      <c r="I48" s="25"/>
      <c r="J48" s="19"/>
    </row>
    <row r="49" spans="1:10" s="31" customFormat="1" ht="13.8" outlineLevel="1" x14ac:dyDescent="0.3">
      <c r="A49" s="30" t="s">
        <v>381</v>
      </c>
      <c r="B49" s="24" t="e">
        <f>_xlfn.XLOOKUP("auth remote-user*",Auth[PASTE ONE LINE CONFIG HERE],Auth[PASTE ONE LINE CONFIG HERE],,2)</f>
        <v>#N/A</v>
      </c>
      <c r="C49" s="24" t="e">
        <f t="shared" si="0"/>
        <v>#N/A</v>
      </c>
      <c r="D49" s="25" t="s">
        <v>175</v>
      </c>
      <c r="E49" s="25"/>
      <c r="F49" s="25" t="s">
        <v>175</v>
      </c>
      <c r="G49" s="25"/>
      <c r="H49" s="25"/>
      <c r="I49" s="25"/>
      <c r="J49" s="33"/>
    </row>
    <row r="50" spans="1:10" s="31" customFormat="1" ht="13.8" outlineLevel="1" x14ac:dyDescent="0.3">
      <c r="A50" s="30" t="s">
        <v>382</v>
      </c>
      <c r="B50" s="24" t="e">
        <f>_xlfn.XLOOKUP("auth ldap*",Auth[PASTE ONE LINE CONFIG HERE],Auth[PASTE ONE LINE CONFIG HERE],,2)</f>
        <v>#N/A</v>
      </c>
      <c r="C50" s="24" t="e">
        <f t="shared" si="0"/>
        <v>#N/A</v>
      </c>
      <c r="D50" s="25" t="s">
        <v>175</v>
      </c>
      <c r="E50" s="25"/>
      <c r="F50" s="25" t="s">
        <v>175</v>
      </c>
      <c r="G50" s="25"/>
      <c r="H50" s="25"/>
      <c r="I50" s="25"/>
      <c r="J50" s="33"/>
    </row>
    <row r="51" spans="1:10" ht="16.8" x14ac:dyDescent="0.3">
      <c r="A51" s="18" t="s">
        <v>176</v>
      </c>
      <c r="B51" s="26"/>
      <c r="C51" s="26"/>
      <c r="D51" s="27"/>
      <c r="E51" s="27"/>
      <c r="F51" s="27"/>
      <c r="G51" s="27"/>
      <c r="H51" s="27"/>
      <c r="I51" s="27"/>
      <c r="J51" s="28"/>
    </row>
    <row r="52" spans="1:10" s="31" customFormat="1" ht="55.2" outlineLevel="1" x14ac:dyDescent="0.3">
      <c r="A52" s="30" t="s">
        <v>177</v>
      </c>
      <c r="B52" s="24" t="e" cm="1">
        <f t="array" ref="B52">HTTPD[Replace last } with " }"]</f>
        <v>#VALUE!</v>
      </c>
      <c r="C52" s="24" t="e">
        <f>MID($B52,FIND(A52,$B52)+LEN(A52),FIND(" ",$B52,FIND(A52,$B52)+LEN(A52))-FIND(A52,$B52)-LEN(A52))</f>
        <v>#VALUE!</v>
      </c>
      <c r="D52" s="25" t="s">
        <v>178</v>
      </c>
      <c r="E52" s="25"/>
      <c r="F52" s="25" t="s">
        <v>179</v>
      </c>
      <c r="G52" s="25" t="s">
        <v>180</v>
      </c>
      <c r="H52" s="25" t="s">
        <v>181</v>
      </c>
      <c r="I52" s="25" t="s">
        <v>182</v>
      </c>
      <c r="J52" s="19" t="s">
        <v>183</v>
      </c>
    </row>
    <row r="53" spans="1:10" s="31" customFormat="1" ht="55.2" outlineLevel="1" x14ac:dyDescent="0.3">
      <c r="A53" s="30" t="s">
        <v>184</v>
      </c>
      <c r="B53" s="24" t="e" cm="1">
        <f t="array" ref="B53">HTTPD[Replace last } with " }"]</f>
        <v>#VALUE!</v>
      </c>
      <c r="C53" s="24" t="e">
        <f>MID($B53,FIND(A53,$B53)+LEN(A53),FIND(" ",$B53,FIND(A53,$B53)+LEN(A53))-FIND(A53,$B53)-LEN(A53))</f>
        <v>#VALUE!</v>
      </c>
      <c r="D53" s="25" t="s">
        <v>185</v>
      </c>
      <c r="E53" s="25"/>
      <c r="F53" s="25" t="s">
        <v>186</v>
      </c>
      <c r="G53" s="25" t="s">
        <v>187</v>
      </c>
      <c r="H53" s="25" t="s">
        <v>188</v>
      </c>
      <c r="I53" s="25" t="s">
        <v>189</v>
      </c>
      <c r="J53" s="19" t="s">
        <v>190</v>
      </c>
    </row>
    <row r="54" spans="1:10" s="31" customFormat="1" ht="82.8" outlineLevel="1" x14ac:dyDescent="0.3">
      <c r="A54" s="30" t="s">
        <v>191</v>
      </c>
      <c r="B54" s="24" t="e" cm="1">
        <f t="array" ref="B54">HTTPD[Replace last } with " }"]</f>
        <v>#VALUE!</v>
      </c>
      <c r="C54" s="24" t="e">
        <f>SUBSTITUTE(MID($B54,FIND(A54,$B54)+LEN(A54),FIND("}",$B54,FIND(A54,$B54)+LEN(A54))-FIND(A54,$B54)-LEN(A54))," "," "&amp;CHAR(10))</f>
        <v>#VALUE!</v>
      </c>
      <c r="D54" s="25" t="s">
        <v>192</v>
      </c>
      <c r="E54" s="25"/>
      <c r="F54" s="25" t="s">
        <v>193</v>
      </c>
      <c r="G54" s="25" t="s">
        <v>194</v>
      </c>
      <c r="H54" s="25" t="s">
        <v>195</v>
      </c>
      <c r="I54" s="25" t="s">
        <v>196</v>
      </c>
      <c r="J54" s="19" t="s">
        <v>197</v>
      </c>
    </row>
    <row r="55" spans="1:10" s="31" customFormat="1" ht="13.8" outlineLevel="1" x14ac:dyDescent="0.3">
      <c r="A55" s="30" t="s">
        <v>198</v>
      </c>
      <c r="B55" s="24" t="e" cm="1">
        <f t="array" ref="B55">HTTPD[Replace last } with " }"]</f>
        <v>#VALUE!</v>
      </c>
      <c r="C55" s="24" t="e">
        <f>SUBSTITUTE(MID($B$55,FIND(A55,$B$55)+LEN(A55),FIND(" ",$B$55,FIND(A55,$B$55)+LEN(A55))-FIND(A55,$B$55)-LEN(A55))," "," "&amp;CHAR(10))</f>
        <v>#VALUE!</v>
      </c>
      <c r="D55" s="25" t="s">
        <v>162</v>
      </c>
      <c r="E55" s="25"/>
      <c r="F55" s="25" t="s">
        <v>162</v>
      </c>
      <c r="G55" s="25" t="s">
        <v>162</v>
      </c>
      <c r="H55" s="25" t="s">
        <v>162</v>
      </c>
      <c r="I55" s="25" t="s">
        <v>162</v>
      </c>
      <c r="J55" s="33" t="s">
        <v>162</v>
      </c>
    </row>
    <row r="56" spans="1:10" ht="16.8" x14ac:dyDescent="0.3">
      <c r="A56" s="18" t="s">
        <v>199</v>
      </c>
      <c r="B56" s="26"/>
      <c r="C56" s="26"/>
      <c r="D56" s="27"/>
      <c r="E56" s="27"/>
      <c r="F56" s="27"/>
      <c r="G56" s="27"/>
      <c r="H56" s="27"/>
      <c r="I56" s="27"/>
      <c r="J56" s="28"/>
    </row>
    <row r="57" spans="1:10" s="31" customFormat="1" ht="55.2" outlineLevel="1" x14ac:dyDescent="0.3">
      <c r="A57" s="30" t="s">
        <v>200</v>
      </c>
      <c r="B57" s="24" cm="1">
        <f t="array" ref="B57">SSHD[PASTE ONE LINE CONFIG HERE]</f>
        <v>0</v>
      </c>
      <c r="C57" s="24" t="e">
        <f>MID($B57,FIND(A57,$B57)+LEN(A57),FIND(" ",$B57,FIND(A57,$B57)+LEN(A57))-FIND(A57,$B57)-LEN(A57))</f>
        <v>#VALUE!</v>
      </c>
      <c r="D57" s="25" t="s">
        <v>364</v>
      </c>
      <c r="E57" s="25"/>
      <c r="F57" s="25" t="s">
        <v>201</v>
      </c>
      <c r="G57" s="25" t="s">
        <v>162</v>
      </c>
      <c r="H57" s="25" t="s">
        <v>162</v>
      </c>
      <c r="I57" s="25" t="s">
        <v>202</v>
      </c>
      <c r="J57" s="19" t="s">
        <v>203</v>
      </c>
    </row>
    <row r="58" spans="1:10" s="31" customFormat="1" ht="55.2" outlineLevel="1" x14ac:dyDescent="0.3">
      <c r="A58" s="30" t="s">
        <v>204</v>
      </c>
      <c r="B58" s="24" cm="1">
        <f t="array" ref="B58">SSHD[PASTE ONE LINE CONFIG HERE]</f>
        <v>0</v>
      </c>
      <c r="C58" s="24" t="e">
        <f>MID($B58,FIND(A58,$B58)+LEN(A58),FIND(" ",$B58,FIND(A58,$B58)+LEN(A58))-FIND(A58,$B58)-LEN(A58))</f>
        <v>#VALUE!</v>
      </c>
      <c r="D58" s="25" t="s">
        <v>178</v>
      </c>
      <c r="E58" s="25"/>
      <c r="F58" s="25" t="s">
        <v>205</v>
      </c>
      <c r="G58" s="25" t="s">
        <v>206</v>
      </c>
      <c r="H58" s="25" t="s">
        <v>162</v>
      </c>
      <c r="I58" s="25" t="s">
        <v>207</v>
      </c>
      <c r="J58" s="19" t="s">
        <v>183</v>
      </c>
    </row>
    <row r="59" spans="1:10" s="31" customFormat="1" ht="55.2" outlineLevel="1" x14ac:dyDescent="0.3">
      <c r="A59" s="30" t="s">
        <v>208</v>
      </c>
      <c r="B59" s="24" cm="1">
        <f t="array" ref="B59">CLIGlobalSettings[PASTE ONE LINE CONFIG HERE]</f>
        <v>0</v>
      </c>
      <c r="C59" s="24">
        <f>B59</f>
        <v>0</v>
      </c>
      <c r="D59" s="25" t="s">
        <v>209</v>
      </c>
      <c r="E59" s="25"/>
      <c r="F59" s="25" t="s">
        <v>210</v>
      </c>
      <c r="G59" s="25" t="s">
        <v>211</v>
      </c>
      <c r="H59" s="25" t="s">
        <v>162</v>
      </c>
      <c r="I59" s="25" t="s">
        <v>212</v>
      </c>
      <c r="J59" s="19" t="s">
        <v>213</v>
      </c>
    </row>
    <row r="60" spans="1:10" s="31" customFormat="1" ht="55.2" outlineLevel="1" x14ac:dyDescent="0.3">
      <c r="A60" s="30" t="s">
        <v>214</v>
      </c>
      <c r="B60" s="24" cm="1">
        <f t="array" ref="B60">SysGlobalSettings[PASTE ONE LINE CONFIG HERE]</f>
        <v>0</v>
      </c>
      <c r="C60" s="24" t="e">
        <f>MID($B60,FIND(A60,$B60)+LEN(A60),FIND(" ",$B60,FIND(A60,$B60)+LEN(A60))-FIND(A60,$B60)-LEN(A60))</f>
        <v>#VALUE!</v>
      </c>
      <c r="D60" s="25" t="s">
        <v>178</v>
      </c>
      <c r="E60" s="25"/>
      <c r="F60" s="25" t="s">
        <v>215</v>
      </c>
      <c r="G60" s="25" t="s">
        <v>216</v>
      </c>
      <c r="H60" s="25" t="s">
        <v>162</v>
      </c>
      <c r="I60" s="25" t="s">
        <v>212</v>
      </c>
      <c r="J60" s="19" t="s">
        <v>213</v>
      </c>
    </row>
    <row r="61" spans="1:10" s="31" customFormat="1" ht="82.8" outlineLevel="1" x14ac:dyDescent="0.3">
      <c r="A61" s="30" t="s">
        <v>365</v>
      </c>
      <c r="B61" s="24" t="e" cm="1">
        <f t="array" ref="B61">SUBSTITUTE(SUBSTITUTE(SUBSTITUTE(MID(SSHD[Replace last } with " }"],FIND("include "&amp;CHAR(34),SSHD[Replace last } with " }"])+LEN("include "&amp;CHAR(34)),FIND(CHAR(34),SSHD[Replace last } with " }"],FIND("include "&amp;CHAR(34),SSHD[Replace last } with " }"])+LEN("include "&amp;CHAR(34)))-FIND("include "&amp;CHAR(34),SSHD[Replace last } with " }"])-LEN("include "&amp;CHAR(34))),"Ciphers",CHAR(10)&amp;"Ciphers"),"KexAlgorithms",CHAR(10)&amp;"KexAlgorithms"),"HostKeyAlgorithms",CHAR(10)&amp;"HostKeyAlgorithms")&amp;CHAR(10)</f>
        <v>#VALUE!</v>
      </c>
      <c r="C61" s="24" t="e">
        <f>MID($B61,FIND("Ciphers",$B61),FIND(CHAR(10),$B61,FIND("Ciphers",$B61))-FIND("Ciphers",$B61))</f>
        <v>#VALUE!</v>
      </c>
      <c r="D61" s="25" t="s">
        <v>217</v>
      </c>
      <c r="E61" s="25"/>
      <c r="F61" s="25" t="s">
        <v>218</v>
      </c>
      <c r="G61" s="25" t="s">
        <v>219</v>
      </c>
      <c r="H61" s="25" t="s">
        <v>162</v>
      </c>
      <c r="I61" s="25" t="s">
        <v>220</v>
      </c>
      <c r="J61" s="19" t="s">
        <v>221</v>
      </c>
    </row>
    <row r="62" spans="1:10" s="31" customFormat="1" ht="82.8" outlineLevel="1" x14ac:dyDescent="0.3">
      <c r="A62" s="30" t="s">
        <v>366</v>
      </c>
      <c r="B62" s="24" t="e" cm="1">
        <f t="array" ref="B62">SUBSTITUTE(SUBSTITUTE(SUBSTITUTE(MID(SSHD[Replace last } with " }"],FIND("include "&amp;CHAR(34),SSHD[Replace last } with " }"])+LEN("include "&amp;CHAR(34)),FIND(CHAR(34),SSHD[Replace last } with " }"],FIND("include "&amp;CHAR(34),SSHD[Replace last } with " }"])+LEN("include "&amp;CHAR(34)))-FIND("include "&amp;CHAR(34),SSHD[Replace last } with " }"])-LEN("include "&amp;CHAR(34))),"Ciphers",CHAR(10)&amp;"Ciphers"),"KexAlgorithms",CHAR(10)&amp;"KexAlgorithms"),"HostKeyAlgorithms",CHAR(10)&amp;"HostKeyAlgorithms")&amp;CHAR(10)</f>
        <v>#VALUE!</v>
      </c>
      <c r="C62" s="24" t="e">
        <f>MID($B62,FIND("MACs",$B62),FIND(CHAR(10),$B62,FIND("MACs",$B62))-FIND("MACs",$B62))</f>
        <v>#VALUE!</v>
      </c>
      <c r="D62" s="25" t="s">
        <v>222</v>
      </c>
      <c r="E62" s="25"/>
      <c r="F62" s="25" t="s">
        <v>223</v>
      </c>
      <c r="G62" s="25" t="s">
        <v>224</v>
      </c>
      <c r="H62" s="25" t="s">
        <v>162</v>
      </c>
      <c r="I62" s="25" t="s">
        <v>225</v>
      </c>
      <c r="J62" s="19" t="s">
        <v>221</v>
      </c>
    </row>
    <row r="63" spans="1:10" s="31" customFormat="1" ht="96.6" outlineLevel="1" x14ac:dyDescent="0.3">
      <c r="A63" s="30" t="s">
        <v>367</v>
      </c>
      <c r="B63" s="24" t="e" cm="1">
        <f t="array" ref="B63">SUBSTITUTE(SUBSTITUTE(SUBSTITUTE(MID(SSHD[Replace last } with " }"],FIND("include "&amp;CHAR(34),SSHD[Replace last } with " }"])+LEN("include "&amp;CHAR(34)),FIND(CHAR(34),SSHD[Replace last } with " }"],FIND("include "&amp;CHAR(34),SSHD[Replace last } with " }"])+LEN("include "&amp;CHAR(34)))-FIND("include "&amp;CHAR(34),SSHD[Replace last } with " }"])-LEN("include "&amp;CHAR(34))),"Ciphers",CHAR(10)&amp;"Ciphers"),"KexAlgorithms",CHAR(10)&amp;"KexAlgorithms"),"HostKeyAlgorithms",CHAR(10)&amp;"HostKeyAlgorithms")&amp;CHAR(10)</f>
        <v>#VALUE!</v>
      </c>
      <c r="C63" s="24" t="e">
        <f>MID($B63,FIND("KexAlgorithms",$B63),FIND(CHAR(10),$B63,FIND("KexAlgorithms",$B63))-FIND("KexAlgorithms",$B63))</f>
        <v>#VALUE!</v>
      </c>
      <c r="D63" s="25" t="s">
        <v>403</v>
      </c>
      <c r="E63" s="25"/>
      <c r="F63" s="25" t="s">
        <v>226</v>
      </c>
      <c r="G63" s="25" t="s">
        <v>227</v>
      </c>
      <c r="H63" s="25" t="s">
        <v>162</v>
      </c>
      <c r="I63" s="25" t="s">
        <v>228</v>
      </c>
      <c r="J63" s="19"/>
    </row>
    <row r="64" spans="1:10" s="31" customFormat="1" ht="13.8" outlineLevel="1" x14ac:dyDescent="0.3">
      <c r="A64" s="30" t="s">
        <v>368</v>
      </c>
      <c r="B64" s="24" t="e" cm="1">
        <f t="array" ref="B64">SUBSTITUTE(SUBSTITUTE(SUBSTITUTE(MID(SSHD[Replace last } with " }"],FIND(A64,SSHD[Replace last } with " }"])+LEN(A64),FIND(CHAR(34),SSHD[Replace last } with " }"],FIND(A64,SSHD[Replace last } with " }"])+LEN(A64))-FIND(A64,SSHD[Replace last } with " }"])-LEN(A64)),"Ciphers",CHAR(10)&amp;"Ciphers"),"KexAlgorithms",CHAR(10)&amp;"KexAlgorithms"),"HostKeyAlgorithms",CHAR(10)&amp;"HostKeyAlgorithms")&amp;CHAR(10)</f>
        <v>#VALUE!</v>
      </c>
      <c r="C64" s="24" t="e">
        <f>MID(B64,FIND("HostKeyAlgorithms",B64),1000)</f>
        <v>#VALUE!</v>
      </c>
      <c r="D64" s="25" t="s">
        <v>162</v>
      </c>
      <c r="E64" s="25"/>
      <c r="F64" s="25" t="s">
        <v>162</v>
      </c>
      <c r="G64" s="25" t="s">
        <v>162</v>
      </c>
      <c r="H64" s="25" t="s">
        <v>162</v>
      </c>
      <c r="I64" s="25" t="s">
        <v>162</v>
      </c>
      <c r="J64" s="33" t="s">
        <v>162</v>
      </c>
    </row>
    <row r="65" spans="1:10" s="31" customFormat="1" ht="96.6" outlineLevel="1" x14ac:dyDescent="0.3">
      <c r="A65" s="30" t="s">
        <v>191</v>
      </c>
      <c r="B65" s="24" t="e">
        <f>SUBSTITUTE(MID($B57,FIND(A65,$B57)+LEN(A65),FIND("}",$B57,FIND(A65,$B57)+LEN(A65))-FIND(A65,$B57)-LEN(A65))," "," "&amp;CHAR(10))</f>
        <v>#VALUE!</v>
      </c>
      <c r="C65" s="24" t="e">
        <f>B65</f>
        <v>#VALUE!</v>
      </c>
      <c r="D65" s="25" t="s">
        <v>229</v>
      </c>
      <c r="E65" s="25"/>
      <c r="F65" s="25" t="s">
        <v>230</v>
      </c>
      <c r="G65" s="25" t="s">
        <v>231</v>
      </c>
      <c r="H65" s="25" t="s">
        <v>162</v>
      </c>
      <c r="I65" s="25" t="s">
        <v>232</v>
      </c>
      <c r="J65" s="19" t="s">
        <v>233</v>
      </c>
    </row>
    <row r="66" spans="1:10" ht="16.8" x14ac:dyDescent="0.3">
      <c r="A66" s="18" t="s">
        <v>234</v>
      </c>
      <c r="B66" s="26"/>
      <c r="C66" s="26"/>
      <c r="D66" s="27"/>
      <c r="E66" s="27"/>
      <c r="F66" s="27"/>
      <c r="G66" s="27"/>
      <c r="H66" s="27"/>
      <c r="I66" s="27"/>
      <c r="J66" s="28"/>
    </row>
    <row r="67" spans="1:10" s="31" customFormat="1" ht="110.4" outlineLevel="1" x14ac:dyDescent="0.3">
      <c r="A67" s="30" t="s">
        <v>111</v>
      </c>
      <c r="B67" s="24" t="e" cm="1">
        <f t="array" ref="B67">SUBSTITUTE(NTP[SERVER IP]," ",CHAR(10))</f>
        <v>#VALUE!</v>
      </c>
      <c r="C67" s="24" t="e">
        <f>B67</f>
        <v>#VALUE!</v>
      </c>
      <c r="D67" s="25" t="s">
        <v>417</v>
      </c>
      <c r="E67" s="25"/>
      <c r="F67" s="25" t="s">
        <v>235</v>
      </c>
      <c r="G67" s="25" t="s">
        <v>236</v>
      </c>
      <c r="H67" s="25" t="s">
        <v>162</v>
      </c>
      <c r="I67" s="25" t="s">
        <v>237</v>
      </c>
      <c r="J67" s="33"/>
    </row>
    <row r="68" spans="1:10" s="31" customFormat="1" ht="96.6" outlineLevel="1" x14ac:dyDescent="0.3">
      <c r="A68" s="30" t="s">
        <v>383</v>
      </c>
      <c r="B68" s="17" t="s">
        <v>238</v>
      </c>
      <c r="C68" s="17" t="s">
        <v>238</v>
      </c>
      <c r="D68" s="16" t="s">
        <v>238</v>
      </c>
      <c r="E68" s="16" t="s">
        <v>239</v>
      </c>
      <c r="F68" s="25" t="s">
        <v>240</v>
      </c>
      <c r="G68" s="25" t="s">
        <v>241</v>
      </c>
      <c r="H68" s="25" t="s">
        <v>162</v>
      </c>
      <c r="I68" s="25" t="s">
        <v>242</v>
      </c>
      <c r="J68" s="19" t="s">
        <v>243</v>
      </c>
    </row>
    <row r="69" spans="1:10" s="31" customFormat="1" ht="124.2" outlineLevel="1" x14ac:dyDescent="0.3">
      <c r="A69" s="30" t="s">
        <v>244</v>
      </c>
      <c r="B69" s="24" t="s">
        <v>245</v>
      </c>
      <c r="C69" s="24" t="s">
        <v>245</v>
      </c>
      <c r="D69" s="25" t="s">
        <v>246</v>
      </c>
      <c r="E69" s="25"/>
      <c r="F69" s="25" t="s">
        <v>247</v>
      </c>
      <c r="G69" s="25" t="s">
        <v>248</v>
      </c>
      <c r="H69" s="25" t="s">
        <v>162</v>
      </c>
      <c r="I69" s="25" t="s">
        <v>249</v>
      </c>
      <c r="J69" s="19" t="s">
        <v>250</v>
      </c>
    </row>
    <row r="70" spans="1:10" s="31" customFormat="1" ht="151.80000000000001" outlineLevel="1" x14ac:dyDescent="0.3">
      <c r="A70" s="30" t="s">
        <v>291</v>
      </c>
      <c r="B70" s="24" t="s">
        <v>292</v>
      </c>
      <c r="C70" s="24"/>
      <c r="D70" s="25"/>
      <c r="E70" s="25"/>
      <c r="F70" s="25" t="s">
        <v>251</v>
      </c>
      <c r="G70" s="25" t="s">
        <v>252</v>
      </c>
      <c r="H70" s="25" t="s">
        <v>162</v>
      </c>
      <c r="I70" s="25" t="s">
        <v>253</v>
      </c>
      <c r="J70" s="19" t="s">
        <v>254</v>
      </c>
    </row>
    <row r="71" spans="1:10" s="31" customFormat="1" ht="69" outlineLevel="1" x14ac:dyDescent="0.3">
      <c r="A71" s="30" t="s">
        <v>255</v>
      </c>
      <c r="B71" s="24" cm="1">
        <f t="array" ref="B71">SNMP[PASTE ONE LINE CONFIG HERE]</f>
        <v>0</v>
      </c>
      <c r="C71" s="24" t="e">
        <f>SUBSTITUTE(MID(B71,FIND("allowed-addresses { ",B71),FIND("} ",B71,FIND("allowed-addresses { ",B71))-FIND("allowed-addresses { ",B71))," "," "&amp;CHAR(10))</f>
        <v>#VALUE!</v>
      </c>
      <c r="D71" s="25" t="s">
        <v>256</v>
      </c>
      <c r="E71" s="25"/>
      <c r="F71" s="25" t="s">
        <v>257</v>
      </c>
      <c r="G71" s="25" t="s">
        <v>258</v>
      </c>
      <c r="H71" s="25" t="s">
        <v>162</v>
      </c>
      <c r="I71" s="25" t="s">
        <v>259</v>
      </c>
      <c r="J71" s="19" t="s">
        <v>260</v>
      </c>
    </row>
    <row r="72" spans="1:10" s="31" customFormat="1" ht="331.2" outlineLevel="1" x14ac:dyDescent="0.3">
      <c r="A72" s="30" t="s">
        <v>261</v>
      </c>
      <c r="B72" s="24" cm="1">
        <f t="array" ref="B72">SNMP[PASTE ONE LINE CONFIG HERE]</f>
        <v>0</v>
      </c>
      <c r="C72" s="24" t="e">
        <f>SUBSTITUTE(MID(B72,FIND("users { ",B72),FIND("}}",B72,FIND("users { ",B72))-FIND("users { ",B72))," "," "&amp;CHAR(10))</f>
        <v>#VALUE!</v>
      </c>
      <c r="D72" s="25" t="s">
        <v>262</v>
      </c>
      <c r="E72" s="25"/>
      <c r="F72" s="25" t="s">
        <v>263</v>
      </c>
      <c r="G72" s="25" t="s">
        <v>264</v>
      </c>
      <c r="H72" s="25" t="s">
        <v>162</v>
      </c>
      <c r="I72" s="25" t="s">
        <v>265</v>
      </c>
      <c r="J72" s="19" t="s">
        <v>266</v>
      </c>
    </row>
    <row r="73" spans="1:10" s="31" customFormat="1" ht="13.8" outlineLevel="1" x14ac:dyDescent="0.3">
      <c r="A73" s="30" t="s">
        <v>267</v>
      </c>
      <c r="B73" s="24" cm="1">
        <f t="array" ref="B73">SNMP[PASTE ONE LINE CONFIG HERE]</f>
        <v>0</v>
      </c>
      <c r="C73" s="24" t="e">
        <f>SUBSTITUTE(MID(B73,FIND("traps { ",B73),FIND("} ",B73,FIND("traps { ",B73))-FIND("traps { ",B73))," "," "&amp;CHAR(10))</f>
        <v>#VALUE!</v>
      </c>
      <c r="D73" s="25" t="s">
        <v>162</v>
      </c>
      <c r="E73" s="25"/>
      <c r="F73" s="25" t="s">
        <v>162</v>
      </c>
      <c r="G73" s="25" t="s">
        <v>162</v>
      </c>
      <c r="H73" s="25" t="s">
        <v>162</v>
      </c>
      <c r="I73" s="25" t="s">
        <v>162</v>
      </c>
      <c r="J73" s="33"/>
    </row>
    <row r="74" spans="1:10" s="31" customFormat="1" ht="179.4" outlineLevel="1" x14ac:dyDescent="0.3">
      <c r="A74" s="30" t="s">
        <v>288</v>
      </c>
      <c r="B74" s="24" t="e">
        <f>SUBSTITUTE(_xlfn.CONCAT(UIlogAccess[COMBINED]),"@",CHAR(10))</f>
        <v>#VALUE!</v>
      </c>
      <c r="C74" s="24" t="e">
        <f>B74</f>
        <v>#VALUE!</v>
      </c>
      <c r="D74" s="25" t="s">
        <v>268</v>
      </c>
      <c r="E74" s="25"/>
      <c r="F74" s="25" t="s">
        <v>269</v>
      </c>
      <c r="G74" s="25" t="s">
        <v>270</v>
      </c>
      <c r="H74" s="25" t="s">
        <v>162</v>
      </c>
      <c r="I74" s="25" t="s">
        <v>162</v>
      </c>
      <c r="J74" s="19"/>
    </row>
    <row r="75" spans="1:10" s="31" customFormat="1" ht="82.8" outlineLevel="1" x14ac:dyDescent="0.3">
      <c r="A75" s="30" t="s">
        <v>289</v>
      </c>
      <c r="B75" s="24" t="e">
        <f>_xlfn.XLOOKUP(A75,ConfigAuditing[DB],ConfigAuditing[DEFAULT])</f>
        <v>#N/A</v>
      </c>
      <c r="C75" s="24" t="e">
        <f>B75</f>
        <v>#N/A</v>
      </c>
      <c r="D75" s="25" t="s">
        <v>370</v>
      </c>
      <c r="E75" s="25"/>
      <c r="F75" s="25" t="s">
        <v>271</v>
      </c>
      <c r="G75" s="25" t="s">
        <v>272</v>
      </c>
      <c r="H75" s="25" t="s">
        <v>162</v>
      </c>
      <c r="I75" s="25" t="s">
        <v>273</v>
      </c>
      <c r="J75" s="19"/>
    </row>
    <row r="76" spans="1:10" s="31" customFormat="1" ht="82.8" outlineLevel="1" x14ac:dyDescent="0.3">
      <c r="A76" s="30" t="s">
        <v>274</v>
      </c>
      <c r="B76" s="24" cm="1">
        <f t="array" ref="B76">CLIGlobalSettings[PASTE ONE LINE CONFIG HERE]</f>
        <v>0</v>
      </c>
      <c r="C76" s="24"/>
      <c r="D76" s="25" t="s">
        <v>402</v>
      </c>
      <c r="E76" s="25"/>
      <c r="F76" s="25" t="s">
        <v>271</v>
      </c>
      <c r="G76" s="25" t="s">
        <v>272</v>
      </c>
      <c r="H76" s="25" t="s">
        <v>162</v>
      </c>
      <c r="I76" s="25" t="s">
        <v>273</v>
      </c>
      <c r="J76" s="19"/>
    </row>
    <row r="77" spans="1:10" s="31" customFormat="1" ht="82.8" outlineLevel="1" x14ac:dyDescent="0.3">
      <c r="A77" s="30" t="s">
        <v>275</v>
      </c>
      <c r="B77" s="24" cm="1">
        <f t="array" ref="B77">SysGlobalSettings[PASTE ONE LINE CONFIG HERE]</f>
        <v>0</v>
      </c>
      <c r="C77" s="24" t="e">
        <f>MID($B77,FIND(A77,$B77)+LEN(A77),FIND(" ",$B77,FIND(A77,$B77)+LEN(A77))-FIND(A77,$B77)-LEN(A77))</f>
        <v>#VALUE!</v>
      </c>
      <c r="D77" s="25" t="s">
        <v>369</v>
      </c>
      <c r="E77" s="25"/>
      <c r="F77" s="25" t="s">
        <v>271</v>
      </c>
      <c r="G77" s="25" t="s">
        <v>272</v>
      </c>
      <c r="H77" s="25" t="s">
        <v>162</v>
      </c>
      <c r="I77" s="25" t="s">
        <v>273</v>
      </c>
      <c r="J77" s="19"/>
    </row>
    <row r="78" spans="1:10" s="31" customFormat="1" ht="110.4" outlineLevel="1" x14ac:dyDescent="0.3">
      <c r="A78" s="30" t="s">
        <v>113</v>
      </c>
      <c r="B78" s="24" cm="1">
        <f t="array" ref="B78">Syslog[PASTE ONE LINE CONFIG HERE]</f>
        <v>0</v>
      </c>
      <c r="C78" s="24" t="e">
        <f>SUBSTITUTE(MID(B78,FIND("remote-servers { ",B78),FIND("} }",B78,FIND("remote-servers { ",B78))-FIND("remote-servers { ",B78))," "," "&amp;CHAR(10))</f>
        <v>#VALUE!</v>
      </c>
      <c r="D78" s="25" t="s">
        <v>276</v>
      </c>
      <c r="E78" s="25"/>
      <c r="F78" s="25" t="s">
        <v>277</v>
      </c>
      <c r="G78" s="25" t="s">
        <v>278</v>
      </c>
      <c r="H78" s="25" t="s">
        <v>162</v>
      </c>
      <c r="I78" s="25" t="s">
        <v>279</v>
      </c>
      <c r="J78" s="19" t="s">
        <v>280</v>
      </c>
    </row>
    <row r="79" spans="1:10" s="31" customFormat="1" ht="13.8" outlineLevel="1" x14ac:dyDescent="0.3">
      <c r="A79" s="30" t="s">
        <v>281</v>
      </c>
      <c r="B79" s="24" cm="1">
        <f t="array" ref="B79">Syslog[PASTE ONE LINE CONFIG HERE]</f>
        <v>0</v>
      </c>
      <c r="C79" s="24" t="e">
        <f>SUBSTITUTE(MID(B79,FIND("iso-date",B79),FIND("remote-servers",B79,FIND("iso-date",B79))-FIND("iso-date",B79))," "," "&amp;CHAR(10))</f>
        <v>#VALUE!</v>
      </c>
      <c r="D79" s="25" t="s">
        <v>162</v>
      </c>
      <c r="E79" s="25"/>
      <c r="F79" s="25" t="s">
        <v>162</v>
      </c>
      <c r="G79" s="25" t="s">
        <v>162</v>
      </c>
      <c r="H79" s="25" t="s">
        <v>162</v>
      </c>
      <c r="I79" s="25" t="s">
        <v>162</v>
      </c>
      <c r="J79" s="33"/>
    </row>
    <row r="80" spans="1:10" s="31" customFormat="1" ht="13.8" outlineLevel="1" x14ac:dyDescent="0.3">
      <c r="A80" s="34" t="s">
        <v>112</v>
      </c>
      <c r="B80" s="35" t="e" cm="1">
        <f t="array" ref="B80">SUBSTITUTE(DNS[SERVER IP]," ",CHAR(10))</f>
        <v>#VALUE!</v>
      </c>
      <c r="C80" s="35"/>
      <c r="D80" s="36" t="s">
        <v>162</v>
      </c>
      <c r="E80" s="36"/>
      <c r="F80" s="36" t="s">
        <v>162</v>
      </c>
      <c r="G80" s="36" t="s">
        <v>162</v>
      </c>
      <c r="H80" s="36" t="s">
        <v>162</v>
      </c>
      <c r="I80" s="36" t="s">
        <v>162</v>
      </c>
      <c r="J80" s="37"/>
    </row>
    <row r="81" spans="1:10" ht="16.8" x14ac:dyDescent="0.3">
      <c r="A81" s="18" t="s">
        <v>420</v>
      </c>
      <c r="B81" s="26"/>
      <c r="C81" s="26"/>
      <c r="D81" s="27"/>
      <c r="E81" s="27"/>
      <c r="F81" s="27"/>
      <c r="G81" s="27"/>
      <c r="H81" s="27"/>
      <c r="I81" s="27"/>
      <c r="J81" s="28"/>
    </row>
    <row r="82" spans="1:10" ht="13.8" x14ac:dyDescent="0.3">
      <c r="A82" s="30" t="s">
        <v>421</v>
      </c>
      <c r="B82" s="29" t="e" cm="1">
        <f t="array" ref="B82">FWMgmt[Replace last } with " }"]</f>
        <v>#VALUE!</v>
      </c>
      <c r="C82" s="24" t="e" cm="1">
        <f t="array" ref="C82">FWMgmt[RULES]</f>
        <v>#VALUE!</v>
      </c>
      <c r="D82" s="25" t="s">
        <v>139</v>
      </c>
      <c r="E82" s="25"/>
      <c r="F82" s="25" t="s">
        <v>139</v>
      </c>
      <c r="G82" s="25" t="s">
        <v>139</v>
      </c>
      <c r="H82" s="25" t="s">
        <v>139</v>
      </c>
      <c r="I82" s="25" t="s">
        <v>139</v>
      </c>
      <c r="J82" s="25" t="s">
        <v>139</v>
      </c>
    </row>
  </sheetData>
  <conditionalFormatting sqref="E2:E82">
    <cfRule type="containsText" dxfId="6" priority="10" operator="containsText" text="DEVIATE">
      <formula>NOT(ISERROR(SEARCH("DEVIATE",E2)))</formula>
    </cfRule>
    <cfRule type="containsText" dxfId="5" priority="11" operator="containsText" text="COMPLIANT">
      <formula>NOT(ISERROR(SEARCH("COMPLIANT",E2)))</formula>
    </cfRule>
    <cfRule type="containsText" dxfId="4" priority="12" operator="containsText" text="NON-COMPLIANT">
      <formula>NOT(ISERROR(SEARCH("NON-COMPLIANT",E2)))</formula>
    </cfRule>
  </conditionalFormatting>
  <conditionalFormatting sqref="E83:E1048576">
    <cfRule type="containsText" dxfId="3" priority="16" operator="containsText" text="DEVIATE">
      <formula>NOT(ISERROR(SEARCH("DEVIATE",E83)))</formula>
    </cfRule>
    <cfRule type="containsText" dxfId="2" priority="17" operator="containsText" text="COMPLIANT">
      <formula>NOT(ISERROR(SEARCH("COMPLIANT",E83)))</formula>
    </cfRule>
    <cfRule type="containsText" dxfId="1" priority="18" operator="containsText" text="NON-COMPLIANT">
      <formula>NOT(ISERROR(SEARCH("NON-COMPLIANT",E83)))</formula>
    </cfRule>
  </conditionalFormatting>
  <hyperlinks>
    <hyperlink ref="J40" r:id="rId1" xr:uid="{D29DC0C5-249A-4A55-82FF-8B702BBD06A2}"/>
    <hyperlink ref="J45" r:id="rId2" xr:uid="{0EC87C83-FB29-4FC0-8FCF-4A964EB1BE0C}"/>
    <hyperlink ref="J52" r:id="rId3" xr:uid="{0E666744-9FBF-4E02-97FF-825B89915426}"/>
    <hyperlink ref="J53" r:id="rId4" xr:uid="{37881B50-3E6D-4BD4-8CB1-F7ACC5F37DFF}"/>
    <hyperlink ref="J54" r:id="rId5" xr:uid="{821417DA-7C2E-4B08-84A9-3B03FB4B12B8}"/>
    <hyperlink ref="J57" r:id="rId6" xr:uid="{EF9A3E25-6D7D-4F81-B9BC-ED5B77C5E3CF}"/>
    <hyperlink ref="J58" r:id="rId7" xr:uid="{EFF66E77-E7AA-49E5-9A6A-7508D914A983}"/>
    <hyperlink ref="J59" r:id="rId8" location="ssh" xr:uid="{F591B94F-5291-4B8D-8847-AE06A2A752F4}"/>
    <hyperlink ref="J60" r:id="rId9" location="ssh" xr:uid="{F1F04BF1-CB33-4D63-83F9-979853DBBBF3}"/>
    <hyperlink ref="J61" r:id="rId10" xr:uid="{EAA72A8B-6D64-4227-9AFA-17527EF7BEB3}"/>
    <hyperlink ref="J62" r:id="rId11" xr:uid="{38A3270F-FA1D-42EF-8E35-1C11C35112EB}"/>
    <hyperlink ref="J65" r:id="rId12" xr:uid="{4E689B26-A404-4FFB-A8A9-C522317B1197}"/>
    <hyperlink ref="J68" r:id="rId13" xr:uid="{605BED1F-FF64-439F-9BD9-2A96E85FE6E0}"/>
    <hyperlink ref="J69" r:id="rId14" xr:uid="{9AE1C36C-8EEF-47CB-926E-2D80A0F576C1}"/>
    <hyperlink ref="J70" r:id="rId15" xr:uid="{CC6C0447-AB9B-4F99-8EB3-79D3DB02509F}"/>
    <hyperlink ref="J71" r:id="rId16" xr:uid="{2605BC98-7EA5-49AF-A077-C9A070AA2174}"/>
    <hyperlink ref="J72" r:id="rId17" xr:uid="{3B6F5F55-D497-42E7-B8C2-6F528959115B}"/>
    <hyperlink ref="J78" r:id="rId18" xr:uid="{2F992BBA-7351-4D7B-BD2C-45918B85988B}"/>
  </hyperlinks>
  <pageMargins left="0.7" right="0.7" top="0.75" bottom="0.75" header="0.3" footer="0.3"/>
  <pageSetup paperSize="9" orientation="portrait" horizontalDpi="4294967293" verticalDpi="0" r:id="rId19"/>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306D-1819-442D-AAE9-18931F50E286}">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7118-E4CB-43FC-A240-0B61ED269EF2}">
  <dimension ref="A1:R2"/>
  <sheetViews>
    <sheetView showGridLines="0" workbookViewId="0">
      <pane ySplit="1" topLeftCell="A2" activePane="bottomLeft" state="frozen"/>
      <selection sqref="A1:B20"/>
      <selection pane="bottomLeft" activeCell="A34" sqref="A34"/>
    </sheetView>
  </sheetViews>
  <sheetFormatPr defaultColWidth="9.21875" defaultRowHeight="10.199999999999999" x14ac:dyDescent="0.2"/>
  <cols>
    <col min="1" max="1" width="47.44140625" style="1" bestFit="1" customWidth="1"/>
    <col min="2" max="2" width="9.21875" style="1"/>
    <col min="3" max="3" width="24.77734375" style="1" bestFit="1" customWidth="1"/>
    <col min="4" max="4" width="11.77734375" style="1" customWidth="1"/>
    <col min="5" max="5" width="11.44140625" style="1" bestFit="1" customWidth="1"/>
    <col min="6" max="6" width="11.44140625" style="1" customWidth="1"/>
    <col min="7" max="8" width="8.21875" style="1" bestFit="1" customWidth="1"/>
    <col min="9" max="9" width="9.5546875" style="1" bestFit="1" customWidth="1"/>
    <col min="10" max="10" width="18.21875" style="1" bestFit="1" customWidth="1"/>
    <col min="11" max="11" width="10.77734375" style="1" bestFit="1" customWidth="1"/>
    <col min="12" max="12" width="12.21875" style="1" bestFit="1" customWidth="1"/>
    <col min="13" max="13" width="9.5546875" style="1" bestFit="1" customWidth="1"/>
    <col min="14" max="14" width="8" style="1" bestFit="1" customWidth="1"/>
    <col min="15" max="15" width="5.77734375" style="1" bestFit="1" customWidth="1"/>
    <col min="16" max="16" width="7.21875" style="1" bestFit="1" customWidth="1"/>
    <col min="17" max="17" width="40" style="1" bestFit="1" customWidth="1"/>
    <col min="18" max="18" width="6.44140625" style="1" bestFit="1" customWidth="1"/>
    <col min="19" max="16384" width="9.21875" style="1"/>
  </cols>
  <sheetData>
    <row r="1" spans="1:18" x14ac:dyDescent="0.2">
      <c r="A1" s="2" t="s">
        <v>0</v>
      </c>
      <c r="B1" s="3" t="s">
        <v>57</v>
      </c>
      <c r="C1" s="3" t="s">
        <v>329</v>
      </c>
      <c r="D1" s="3" t="s">
        <v>330</v>
      </c>
      <c r="E1" s="3" t="s">
        <v>331</v>
      </c>
      <c r="F1" s="3" t="s">
        <v>354</v>
      </c>
      <c r="G1" s="3" t="s">
        <v>332</v>
      </c>
      <c r="H1" s="3" t="s">
        <v>333</v>
      </c>
      <c r="I1" s="3" t="s">
        <v>334</v>
      </c>
      <c r="J1" s="3" t="s">
        <v>335</v>
      </c>
      <c r="K1" s="3" t="s">
        <v>336</v>
      </c>
      <c r="L1" s="3" t="s">
        <v>343</v>
      </c>
      <c r="M1" s="3" t="s">
        <v>337</v>
      </c>
      <c r="N1" s="3" t="s">
        <v>338</v>
      </c>
      <c r="O1" s="3" t="s">
        <v>339</v>
      </c>
      <c r="P1" s="3" t="s">
        <v>340</v>
      </c>
      <c r="Q1" s="3" t="s">
        <v>341</v>
      </c>
      <c r="R1" s="3" t="s">
        <v>342</v>
      </c>
    </row>
    <row r="2" spans="1:18" x14ac:dyDescent="0.2">
      <c r="B2" s="1" t="e">
        <f t="shared" ref="B2" si="0">LEFT(A2,LEN(A2)-1)&amp;" }"</f>
        <v>#VALUE!</v>
      </c>
      <c r="C2" s="5" t="e">
        <f t="shared" ref="C2:R2" si="1">MID($B2,FIND(C$1,$B2)+LEN(C$1),FIND(" ",$B2,FIND(C$1,$B2)+LEN(C$1))-FIND(C$1,$B2)-LEN(C$1))</f>
        <v>#VALUE!</v>
      </c>
      <c r="D2" s="5" t="e">
        <f t="shared" ref="D2" si="2">MID($B2,FIND(D$1,$B2)+LEN(D$1),FIND(CHAR(34),$B2,FIND(D$1,$B2)+LEN(D$1))-FIND(D$1,$B2)-LEN(D$1))</f>
        <v>#VALUE!</v>
      </c>
      <c r="E2" s="5" t="e">
        <f t="shared" ref="E2:P2" si="3">MID($B2,FIND(E$1,$B2)+LEN(E$1),FIND(" ",$B2,FIND(E$1,$B2)+LEN(E$1))-FIND(E$1,$B2)-LEN(E$1))</f>
        <v>#VALUE!</v>
      </c>
      <c r="F2" s="5" t="e">
        <f t="shared" si="3"/>
        <v>#VALUE!</v>
      </c>
      <c r="G2" s="5" t="e">
        <f>SUBSTITUTE(MID($B2,FIND(G$1,$B2)+LEN(G$1),FIND(" ",$B2,FIND(G$1,$B2)+LEN(G$1))-FIND(G$1,$B2)-LEN(G$1)),CHAR(34),"")</f>
        <v>#VALUE!</v>
      </c>
      <c r="H2" s="5" t="e">
        <f t="shared" si="3"/>
        <v>#VALUE!</v>
      </c>
      <c r="I2" s="5" t="e">
        <f t="shared" si="3"/>
        <v>#VALUE!</v>
      </c>
      <c r="J2" s="5" t="e">
        <f t="shared" si="3"/>
        <v>#VALUE!</v>
      </c>
      <c r="K2" s="5" t="e">
        <f t="shared" si="3"/>
        <v>#VALUE!</v>
      </c>
      <c r="L2" s="5" t="e">
        <f t="shared" ref="L2" si="4">MID($B2,FIND(L$1,$B2)+LEN(L$1),FIND(CHAR(34),$B2,FIND(L$1,$B2)+LEN(L$1))-FIND(L$1,$B2)-LEN(L$1))</f>
        <v>#VALUE!</v>
      </c>
      <c r="M2" s="5" t="e">
        <f t="shared" si="3"/>
        <v>#VALUE!</v>
      </c>
      <c r="N2" s="5" t="e">
        <f t="shared" si="3"/>
        <v>#VALUE!</v>
      </c>
      <c r="O2" s="5" t="e">
        <f t="shared" si="3"/>
        <v>#VALUE!</v>
      </c>
      <c r="P2" s="5" t="e">
        <f t="shared" si="3"/>
        <v>#VALUE!</v>
      </c>
      <c r="Q2" s="5" t="e">
        <f t="shared" ref="Q2" si="5">MID($B2,FIND(Q$1,$B2)+LEN(Q$1),FIND(" } } ",$B2,FIND(Q$1,$B2)+LEN(Q$1))-FIND(Q$1,$B2)-LEN(Q$1))</f>
        <v>#VALUE!</v>
      </c>
      <c r="R2" s="5" t="e">
        <f t="shared" si="1"/>
        <v>#VALUE!</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36E70-1F33-4952-9D77-C1F486916F46}">
  <dimension ref="A1:H2"/>
  <sheetViews>
    <sheetView showGridLines="0" workbookViewId="0">
      <pane ySplit="1" topLeftCell="A2" activePane="bottomLeft" state="frozen"/>
      <selection sqref="A1:B20"/>
      <selection pane="bottomLeft" activeCell="A2" sqref="A2"/>
    </sheetView>
  </sheetViews>
  <sheetFormatPr defaultColWidth="9.21875" defaultRowHeight="10.199999999999999" x14ac:dyDescent="0.2"/>
  <cols>
    <col min="1" max="1" width="47.44140625" style="1" bestFit="1" customWidth="1"/>
    <col min="2" max="2" width="9.21875" style="1"/>
    <col min="3" max="3" width="19.21875" style="1" bestFit="1" customWidth="1"/>
    <col min="4" max="4" width="9.21875" style="1"/>
    <col min="5" max="5" width="51.77734375" style="1" bestFit="1" customWidth="1"/>
    <col min="6" max="6" width="9.21875" style="1"/>
    <col min="7" max="7" width="11.21875" style="1" bestFit="1" customWidth="1"/>
    <col min="8" max="16384" width="9.21875" style="1"/>
  </cols>
  <sheetData>
    <row r="1" spans="1:8" x14ac:dyDescent="0.2">
      <c r="A1" s="2" t="s">
        <v>0</v>
      </c>
      <c r="B1" s="3" t="s">
        <v>57</v>
      </c>
      <c r="C1" s="3" t="s">
        <v>344</v>
      </c>
      <c r="D1" s="3" t="s">
        <v>345</v>
      </c>
      <c r="E1" s="3" t="s">
        <v>346</v>
      </c>
      <c r="F1" s="3" t="s">
        <v>347</v>
      </c>
      <c r="G1" s="3" t="s">
        <v>348</v>
      </c>
      <c r="H1" s="3"/>
    </row>
    <row r="2" spans="1:8" x14ac:dyDescent="0.2">
      <c r="B2" s="1" t="e">
        <f t="shared" ref="B2" si="0">LEFT(A2,LEN(A2)-1)&amp;" }"</f>
        <v>#VALUE!</v>
      </c>
      <c r="C2" s="1" t="str">
        <f t="shared" ref="C2:D2" si="1">IFERROR(MID($B2,FIND(C$1,$B2)+LEN(C$1),FIND(" ",$B2,FIND(C$1,$B2)+LEN(C$1))-FIND(C$1,$B2)-LEN(C$1)),"")</f>
        <v/>
      </c>
      <c r="D2" s="1" t="str">
        <f t="shared" si="1"/>
        <v/>
      </c>
      <c r="E2" s="1" t="str">
        <f t="shared" ref="E2" si="2">IFERROR(MID($B2,FIND(E$1,$B2)+LEN(E$1),FIND(" { } } ",$B2,FIND(E$1,$B2)+LEN(E$1))-FIND(E$1,$B2)-LEN(E$1)),"")</f>
        <v/>
      </c>
      <c r="F2" s="1" t="str">
        <f>IFERROR(MID($B2,FIND(F$1,$B2)+LEN(F$1),FIND(" ",$B2,FIND(F$1,$B2)+LEN(F$1))-FIND(F$1,$B2)-LEN(F$1)),"")</f>
        <v/>
      </c>
      <c r="G2" s="1" t="str">
        <f t="shared" ref="G2" si="3">IFERROR(MID($B2,FIND(G$1,$B2)+LEN(G$1),FIND(" ",$B2,FIND(G$1,$B2)+LEN(G$1))-FIND(G$1,$B2)-LEN(G$1)),"")</f>
        <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5D500-A9CE-4596-B303-93E99C22A693}">
  <dimension ref="A1:D2"/>
  <sheetViews>
    <sheetView showGridLines="0" workbookViewId="0">
      <pane ySplit="1" topLeftCell="A2" activePane="bottomLeft" state="frozen"/>
      <selection sqref="A1:B20"/>
      <selection pane="bottomLeft" activeCell="A2" sqref="A2"/>
    </sheetView>
  </sheetViews>
  <sheetFormatPr defaultColWidth="9.21875" defaultRowHeight="10.199999999999999" x14ac:dyDescent="0.2"/>
  <cols>
    <col min="1" max="1" width="47.44140625" style="1" bestFit="1" customWidth="1"/>
    <col min="2" max="2" width="9.21875" style="1"/>
    <col min="3" max="3" width="22" style="1" bestFit="1" customWidth="1"/>
    <col min="4" max="16384" width="9.21875" style="1"/>
  </cols>
  <sheetData>
    <row r="1" spans="1:4" x14ac:dyDescent="0.2">
      <c r="A1" s="2" t="s">
        <v>0</v>
      </c>
      <c r="B1" s="3" t="s">
        <v>57</v>
      </c>
      <c r="C1" s="3" t="s">
        <v>358</v>
      </c>
      <c r="D1" s="3"/>
    </row>
    <row r="2" spans="1:4" x14ac:dyDescent="0.2">
      <c r="B2" s="1" t="e">
        <f t="shared" ref="B2" si="0">LEFT(A2,LEN(A2)-1)&amp;" }"</f>
        <v>#VALUE!</v>
      </c>
      <c r="C2" s="1" t="str">
        <f t="shared" ref="C2" si="1">IFERROR(MID($B2,FIND(C$1,$B2)+LEN(C$1),FIND(" ",$B2,FIND(C$1,$B2)+LEN(C$1))-FIND(C$1,$B2)-LEN(C$1)),"")</f>
        <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A9C43-6D07-4563-98F4-F92CE7F4405D}">
  <dimension ref="A1:D2"/>
  <sheetViews>
    <sheetView showGridLines="0" workbookViewId="0">
      <pane ySplit="1" topLeftCell="A2" activePane="bottomLeft" state="frozen"/>
      <selection sqref="A1:B20"/>
      <selection pane="bottomLeft" activeCell="C2" sqref="C2"/>
    </sheetView>
  </sheetViews>
  <sheetFormatPr defaultColWidth="9.21875" defaultRowHeight="10.199999999999999" x14ac:dyDescent="0.2"/>
  <cols>
    <col min="1" max="1" width="47.44140625" style="1" bestFit="1" customWidth="1"/>
    <col min="2" max="2" width="9.21875" style="1"/>
    <col min="3" max="3" width="22" style="1" bestFit="1" customWidth="1"/>
    <col min="4" max="16384" width="9.21875" style="1"/>
  </cols>
  <sheetData>
    <row r="1" spans="1:4" x14ac:dyDescent="0.2">
      <c r="A1" s="2" t="s">
        <v>0</v>
      </c>
      <c r="B1" s="3" t="s">
        <v>57</v>
      </c>
      <c r="C1" s="3" t="s">
        <v>359</v>
      </c>
      <c r="D1" s="3"/>
    </row>
    <row r="2" spans="1:4" x14ac:dyDescent="0.2">
      <c r="B2" s="1" t="e">
        <f t="shared" ref="B2" si="0">LEFT(A2,LEN(A2)-1)&amp;" }"</f>
        <v>#VALUE!</v>
      </c>
      <c r="C2" s="1" t="str">
        <f t="shared" ref="C2" si="1">IFERROR(MID($B2,FIND(C$1,$B2)+LEN(C$1),FIND(" ",$B2,FIND(C$1,$B2)+LEN(C$1))-FIND(C$1,$B2)-LEN(C$1)),"")</f>
        <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2B158-5EF8-43DF-AA10-452EBF5A82DC}">
  <dimension ref="A1:B2"/>
  <sheetViews>
    <sheetView showGridLines="0" workbookViewId="0">
      <pane ySplit="1" topLeftCell="A2" activePane="bottomLeft" state="frozen"/>
      <selection sqref="A1:B20"/>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79B71-4E96-40F0-A4FC-803260BB5095}">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4EB19-EA33-4276-A487-1111CD203C0F}">
  <dimension ref="A1:C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2" width="47.44140625" style="1" customWidth="1"/>
    <col min="3" max="3" width="18.44140625" style="1" customWidth="1"/>
    <col min="4" max="16384" width="9.21875" style="1"/>
  </cols>
  <sheetData>
    <row r="1" spans="1:3" x14ac:dyDescent="0.2">
      <c r="A1" s="2" t="s">
        <v>0</v>
      </c>
      <c r="B1" s="3" t="s">
        <v>57</v>
      </c>
      <c r="C1" s="2" t="s">
        <v>282</v>
      </c>
    </row>
    <row r="2" spans="1:3" x14ac:dyDescent="0.2">
      <c r="B2" s="1" t="e">
        <f t="shared" ref="B2" si="0">LEFT(A2,LEN(A2)-1)&amp;" }"</f>
        <v>#VALUE!</v>
      </c>
      <c r="C2" s="1" t="e">
        <f>IFERROR(MID(MID(B2,FIND("hostname ",B2)+9,100),1,FIND(" ",MID(B2,FIND("hostname ",B2)+9,100))-1),MID(MID(B2,FIND("hostname ",B2)+9,100),1,FIND(" ",MID(B2,FIND("hostname ",B2)+9,100))-1))</f>
        <v>#VALUE!</v>
      </c>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1CC2-0577-4897-80E7-C5ADC85F9BDE}">
  <dimension ref="A1:D2"/>
  <sheetViews>
    <sheetView showGridLines="0" workbookViewId="0">
      <pane ySplit="1" topLeftCell="A2" activePane="bottomLeft" state="frozen"/>
      <selection activeCell="C13" sqref="C13"/>
      <selection pane="bottomLeft" activeCell="D2" sqref="D2"/>
    </sheetView>
  </sheetViews>
  <sheetFormatPr defaultColWidth="9.21875" defaultRowHeight="10.199999999999999" x14ac:dyDescent="0.2"/>
  <cols>
    <col min="1" max="1" width="47.44140625" style="1" bestFit="1" customWidth="1"/>
    <col min="2" max="3" width="50.77734375" style="1" customWidth="1"/>
    <col min="4" max="4" width="31.21875" style="1" customWidth="1"/>
    <col min="5" max="16384" width="9.21875" style="1"/>
  </cols>
  <sheetData>
    <row r="1" spans="1:4" x14ac:dyDescent="0.2">
      <c r="A1" s="2" t="s">
        <v>0</v>
      </c>
      <c r="B1" s="3" t="s">
        <v>57</v>
      </c>
      <c r="C1" s="2" t="s">
        <v>23</v>
      </c>
      <c r="D1" s="2" t="s">
        <v>34</v>
      </c>
    </row>
    <row r="2" spans="1:4" x14ac:dyDescent="0.2">
      <c r="B2" s="1" t="e">
        <f>LEFT(A2,LEN(A2)-1)&amp;" }"</f>
        <v>#VALUE!</v>
      </c>
      <c r="C2" s="5" t="e">
        <f>MID(A2,FIND("auth partition ",A2)+15,FIND(" ",A2,FIND("auth partition ",A2)+15)-FIND("auth partition ",A2)-15)</f>
        <v>#VALUE!</v>
      </c>
      <c r="D2" s="5" t="e">
        <f>MID(B2,FIND("description ",B2)+12,FIND("}",B2,FIND("description ",B2)+12)-FIND("description ",B2)-12)</f>
        <v>#VALUE!</v>
      </c>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FC35F-8BD0-4A34-9158-F2F76585DD11}">
  <dimension ref="A1:C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3" width="50.77734375" style="1" customWidth="1"/>
    <col min="4" max="16384" width="9.21875" style="1"/>
  </cols>
  <sheetData>
    <row r="1" spans="1:3" x14ac:dyDescent="0.2">
      <c r="A1" s="2" t="s">
        <v>0</v>
      </c>
      <c r="B1" s="3" t="s">
        <v>57</v>
      </c>
      <c r="C1" s="2" t="s">
        <v>419</v>
      </c>
    </row>
    <row r="2" spans="1:3" x14ac:dyDescent="0.2">
      <c r="B2" s="1" t="e">
        <f>LEFT(A2,LEN(A2)-1)&amp;" }"</f>
        <v>#VALUE!</v>
      </c>
      <c r="C2" s="5" t="e">
        <f>SUBSTITUTE(SUBSTITUTE(SUBSTITUTE(B2,"{ } } } } ","}"&amp;CHAR(10)),"{ } } } ","}"&amp;CHAR(10))," rules { ",CHAR(10))</f>
        <v>#VALUE!</v>
      </c>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E50B4-B056-438B-99CB-C90E2ABD3782}">
  <dimension ref="A1:D2"/>
  <sheetViews>
    <sheetView showGridLines="0" workbookViewId="0">
      <pane ySplit="1" topLeftCell="A2" activePane="bottomLeft" state="frozen"/>
      <selection activeCell="C13" sqref="C13"/>
      <selection pane="bottomLeft" activeCell="C2" sqref="C2"/>
    </sheetView>
  </sheetViews>
  <sheetFormatPr defaultColWidth="9.21875" defaultRowHeight="10.199999999999999" x14ac:dyDescent="0.2"/>
  <cols>
    <col min="1" max="1" width="47.44140625" style="1" bestFit="1" customWidth="1"/>
    <col min="2" max="2" width="18.44140625" style="1" customWidth="1"/>
    <col min="3" max="3" width="10.5546875" style="1" bestFit="1" customWidth="1"/>
    <col min="4" max="16384" width="9.21875" style="1"/>
  </cols>
  <sheetData>
    <row r="1" spans="1:4" x14ac:dyDescent="0.2">
      <c r="A1" s="2" t="s">
        <v>0</v>
      </c>
      <c r="B1" s="2" t="s">
        <v>399</v>
      </c>
      <c r="C1" s="2" t="s">
        <v>115</v>
      </c>
      <c r="D1" s="2" t="s">
        <v>400</v>
      </c>
    </row>
    <row r="2" spans="1:4" x14ac:dyDescent="0.2">
      <c r="B2" s="1" t="e">
        <f>MID(MID(A2,FIND("management-ip ",A2)+14,100),1,FIND(" ",MID(A2,FIND("management-ip ",A2)+14,100))-1)</f>
        <v>#VALUE!</v>
      </c>
      <c r="C2" s="5" t="e">
        <f>MID(B2,1,FIND("/",B2)-1)</f>
        <v>#VALUE!</v>
      </c>
      <c r="D2" s="5" t="e">
        <f>MID(B2,FIND("/",B2),10)</f>
        <v>#VALUE!</v>
      </c>
    </row>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A8B4D-F47D-4F1C-B001-CDB5CE7746B3}">
  <dimension ref="A1:B2"/>
  <sheetViews>
    <sheetView showGridLines="0" workbookViewId="0">
      <pane ySplit="1" topLeftCell="A2" activePane="bottomLeft" state="frozen"/>
      <selection activeCell="C13" sqref="C13"/>
      <selection pane="bottomLeft" activeCell="B2" sqref="B2"/>
    </sheetView>
  </sheetViews>
  <sheetFormatPr defaultColWidth="9.21875" defaultRowHeight="10.199999999999999" x14ac:dyDescent="0.2"/>
  <cols>
    <col min="1" max="1" width="47.44140625" style="1" bestFit="1" customWidth="1"/>
    <col min="2" max="2" width="18.44140625" style="1" customWidth="1"/>
    <col min="3" max="16384" width="9.21875" style="1"/>
  </cols>
  <sheetData>
    <row r="1" spans="1:2" x14ac:dyDescent="0.2">
      <c r="A1" s="2" t="s">
        <v>0</v>
      </c>
      <c r="B1" s="2" t="s">
        <v>129</v>
      </c>
    </row>
    <row r="2" spans="1:2" x14ac:dyDescent="0.2">
      <c r="B2" s="1" t="e">
        <f>MID(MID(A2,FIND("gateway ",A2)+8,100),1,FIND(" ",MID(A2,FIND("gateway ",A2)+8,100))-1)</f>
        <v>#VALUE!</v>
      </c>
    </row>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4CEFF-6959-4089-996C-3A89A404F5BE}">
  <dimension ref="A1"/>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1" x14ac:dyDescent="0.2">
      <c r="A1" s="2" t="s">
        <v>0</v>
      </c>
    </row>
  </sheetData>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D644-FF3A-407F-8551-0927A3FC0167}">
  <dimension ref="A1:B2"/>
  <sheetViews>
    <sheetView showGridLines="0" workbookViewId="0">
      <pane ySplit="1" topLeftCell="A2" activePane="bottomLeft" state="frozen"/>
      <selection activeCell="C13" sqref="C13"/>
      <selection pane="bottomLeft" activeCell="B2" sqref="B2"/>
    </sheetView>
  </sheetViews>
  <sheetFormatPr defaultColWidth="9.21875" defaultRowHeight="10.199999999999999" x14ac:dyDescent="0.2"/>
  <cols>
    <col min="1" max="1" width="47.44140625" style="1" bestFit="1" customWidth="1"/>
    <col min="2" max="2" width="18.44140625" style="1" customWidth="1"/>
    <col min="3" max="16384" width="9.21875" style="1"/>
  </cols>
  <sheetData>
    <row r="1" spans="1:2" x14ac:dyDescent="0.2">
      <c r="A1" s="2" t="s">
        <v>0</v>
      </c>
      <c r="B1" s="2" t="s">
        <v>283</v>
      </c>
    </row>
    <row r="2" spans="1:2" x14ac:dyDescent="0.2">
      <c r="B2" s="1" t="e">
        <f>MID(MID(A2,FIND("servers { ",A2)+10,100),1,FIND("}",MID(A2,FIND("servers { ",A2)+10,100))-2)</f>
        <v>#VALUE!</v>
      </c>
    </row>
  </sheetData>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7596-1E03-4F4A-96E0-06AB6C3802C0}">
  <dimension ref="A1:B2"/>
  <sheetViews>
    <sheetView showGridLines="0" workbookViewId="0">
      <pane ySplit="1" topLeftCell="A2" activePane="bottomLeft" state="frozen"/>
      <selection activeCell="C13" sqref="C13"/>
      <selection pane="bottomLeft" activeCell="B2" sqref="B2"/>
    </sheetView>
  </sheetViews>
  <sheetFormatPr defaultColWidth="9.21875" defaultRowHeight="10.199999999999999" x14ac:dyDescent="0.2"/>
  <cols>
    <col min="1" max="1" width="47.44140625" style="1" bestFit="1" customWidth="1"/>
    <col min="2" max="2" width="36" style="1" bestFit="1" customWidth="1"/>
    <col min="3" max="16384" width="9.21875" style="1"/>
  </cols>
  <sheetData>
    <row r="1" spans="1:2" x14ac:dyDescent="0.2">
      <c r="A1" s="2" t="s">
        <v>0</v>
      </c>
      <c r="B1" s="2" t="s">
        <v>283</v>
      </c>
    </row>
    <row r="2" spans="1:2" x14ac:dyDescent="0.2">
      <c r="B2" s="1" t="e">
        <f>MID(MID(A2,FIND("servers { ",A2)+10,100),1,FIND("}",MID(A2,FIND("servers { ",A2)+10,100))-2)</f>
        <v>#VALUE!</v>
      </c>
    </row>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54D5D-EE25-4AE8-8768-FF56FA48FB64}">
  <dimension ref="A1"/>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1" x14ac:dyDescent="0.2">
      <c r="A1" s="2" t="s">
        <v>0</v>
      </c>
    </row>
  </sheetData>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86536-7105-469F-B3EB-5A90E9354B2A}">
  <dimension ref="A1"/>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1" x14ac:dyDescent="0.2">
      <c r="A1" s="2" t="s">
        <v>0</v>
      </c>
    </row>
  </sheetData>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DAA3F-9F07-4A09-B67B-005EBDEFD1C6}">
  <dimension ref="A1:E2"/>
  <sheetViews>
    <sheetView showGridLines="0" workbookViewId="0">
      <pane ySplit="1" topLeftCell="A2" activePane="bottomLeft" state="frozen"/>
      <selection activeCell="C13" sqref="C13"/>
      <selection pane="bottomLeft" activeCell="C2" sqref="C2"/>
    </sheetView>
  </sheetViews>
  <sheetFormatPr defaultColWidth="9.21875" defaultRowHeight="10.199999999999999" x14ac:dyDescent="0.2"/>
  <cols>
    <col min="1" max="1" width="67.21875" style="1" customWidth="1"/>
    <col min="2" max="2" width="25" style="1" bestFit="1" customWidth="1"/>
    <col min="3" max="3" width="21.5546875" style="1" bestFit="1" customWidth="1"/>
    <col min="4" max="4" width="24.5546875" style="1" bestFit="1" customWidth="1"/>
    <col min="5" max="5" width="16.44140625" style="1" bestFit="1" customWidth="1"/>
    <col min="6" max="16384" width="9.21875" style="1"/>
  </cols>
  <sheetData>
    <row r="1" spans="1:5" x14ac:dyDescent="0.2">
      <c r="A1" s="2" t="s">
        <v>0</v>
      </c>
      <c r="B1" s="3" t="s">
        <v>57</v>
      </c>
      <c r="C1" s="2" t="s">
        <v>293</v>
      </c>
      <c r="D1" s="2" t="s">
        <v>24</v>
      </c>
      <c r="E1" s="2" t="s">
        <v>294</v>
      </c>
    </row>
    <row r="2" spans="1:5" x14ac:dyDescent="0.2">
      <c r="B2" s="1" t="e">
        <f t="shared" ref="B2" si="0">LEFT(A2,LEN(A2)-1)&amp;" }"</f>
        <v>#VALUE!</v>
      </c>
      <c r="C2" s="1" t="e">
        <f t="shared" ref="C2" si="1">MID(A2,FIND("auth user ",A2)+10,FIND(" ",A2,FIND("auth user ",A2)+10)-FIND("auth user ",A2)-10)</f>
        <v>#VALUE!</v>
      </c>
      <c r="D2" s="1" t="e">
        <f t="shared" ref="D2" si="2">MID(A2,FIND("partition-access {",A2)+19,FIND(" } } ",A2,FIND("partition-access { ",A2)+19)-FIND("partition-access {",A2)-19)</f>
        <v>#VALUE!</v>
      </c>
      <c r="E2" s="1" t="e">
        <f t="shared" ref="E2" si="3">MID(B2,FIND("shell ",B2)+6,FIND(" ",B2,FIND("shell ",B2)+6)-FIND("shell ",B2)-6)</f>
        <v>#VALUE!</v>
      </c>
    </row>
  </sheetData>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A1044-A790-4D33-807B-2EE06FBF3562}">
  <dimension ref="A1:B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1F99B-911A-4A3B-A432-697643B8147C}">
  <dimension ref="A1:B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B678D-2995-4B47-BAFB-4C40F9DF0690}">
  <dimension ref="A1:B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BB42-8FD0-417E-AA3C-3C225BBACA76}">
  <dimension ref="A1:B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998FD-AEBB-4738-8867-DB452BA1D810}">
  <dimension ref="A1:B2"/>
  <sheetViews>
    <sheetView showGridLines="0" workbookViewId="0">
      <pane ySplit="1" topLeftCell="A2" activePane="bottomLeft" state="frozen"/>
      <selection sqref="A1:B20"/>
      <selection pane="bottomLeft" activeCell="B2" sqref="B2"/>
    </sheetView>
  </sheetViews>
  <sheetFormatPr defaultColWidth="9.21875" defaultRowHeight="10.199999999999999" x14ac:dyDescent="0.2"/>
  <cols>
    <col min="1" max="1" width="47.44140625" style="1" bestFit="1" customWidth="1"/>
    <col min="2"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7913-3AF8-42B2-9EF3-628F3AB27BC3}">
  <dimension ref="A1:B2"/>
  <sheetViews>
    <sheetView showGridLines="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16384" width="9.21875" style="1"/>
  </cols>
  <sheetData>
    <row r="1" spans="1:2" x14ac:dyDescent="0.2">
      <c r="A1" s="2" t="s">
        <v>0</v>
      </c>
      <c r="B1" s="3" t="s">
        <v>57</v>
      </c>
    </row>
    <row r="2" spans="1:2" x14ac:dyDescent="0.2">
      <c r="B2" s="1" t="e">
        <f t="shared" ref="B2" si="0">LEFT(A2,LEN(A2)-1)&amp;" }"</f>
        <v>#VALUE!</v>
      </c>
    </row>
  </sheetData>
  <pageMargins left="0.7" right="0.7" top="0.75" bottom="0.75" header="0.3" footer="0.3"/>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F494D-0ED1-42D4-850D-42571CEF003A}">
  <dimension ref="A1:H2"/>
  <sheetViews>
    <sheetView showGridLines="0" workbookViewId="0"/>
  </sheetViews>
  <sheetFormatPr defaultColWidth="9.21875" defaultRowHeight="10.199999999999999" x14ac:dyDescent="0.2"/>
  <cols>
    <col min="1" max="5" width="40.77734375" style="1" customWidth="1"/>
    <col min="6" max="7" width="9" style="1" customWidth="1"/>
    <col min="8" max="8" width="44.21875" style="1" bestFit="1" customWidth="1"/>
    <col min="9" max="16384" width="9.21875" style="1"/>
  </cols>
  <sheetData>
    <row r="1" spans="1:8" x14ac:dyDescent="0.2">
      <c r="A1" s="1" t="s">
        <v>87</v>
      </c>
      <c r="B1" s="1" t="s">
        <v>88</v>
      </c>
      <c r="C1" s="1" t="s">
        <v>89</v>
      </c>
      <c r="D1" s="1" t="s">
        <v>371</v>
      </c>
      <c r="E1" s="1" t="s">
        <v>90</v>
      </c>
      <c r="F1" s="1" t="s">
        <v>372</v>
      </c>
      <c r="G1" s="1" t="s">
        <v>373</v>
      </c>
      <c r="H1" s="1" t="s">
        <v>91</v>
      </c>
    </row>
    <row r="2" spans="1:8" x14ac:dyDescent="0.2">
      <c r="F2" s="12"/>
      <c r="G2" s="12"/>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BA5DF-5622-47FB-8DA8-2ED9F3FE309F}">
  <sheetPr codeName="Sheet4"/>
  <dimension ref="A1:C2"/>
  <sheetViews>
    <sheetView showGridLines="0" workbookViewId="0">
      <pane ySplit="1" topLeftCell="A2" activePane="bottomLeft" state="frozen"/>
      <selection pane="bottomLeft"/>
    </sheetView>
  </sheetViews>
  <sheetFormatPr defaultColWidth="9.21875" defaultRowHeight="10.199999999999999" x14ac:dyDescent="0.2"/>
  <cols>
    <col min="1" max="1" width="42.21875" style="1" bestFit="1" customWidth="1"/>
    <col min="2" max="2" width="34.21875" style="1" bestFit="1" customWidth="1"/>
    <col min="3" max="3" width="66" style="1" bestFit="1" customWidth="1"/>
    <col min="4" max="16384" width="9.21875" style="1"/>
  </cols>
  <sheetData>
    <row r="1" spans="1:3" x14ac:dyDescent="0.2">
      <c r="A1" s="2" t="s">
        <v>0</v>
      </c>
      <c r="B1" s="2" t="s">
        <v>23</v>
      </c>
      <c r="C1" s="2" t="s">
        <v>48</v>
      </c>
    </row>
    <row r="2" spans="1:3" x14ac:dyDescent="0.2">
      <c r="B2" s="1" t="e">
        <f t="shared" ref="B2" si="0">MID(A2,FIND("ssl-cert /",A2)+9,FIND(" ",A2,FIND("ssl-cert /",A2)+9)-FIND("ssl-cert /",A2)-9)</f>
        <v>#VALUE!</v>
      </c>
      <c r="C2" s="1" t="e">
        <f t="shared" ref="C2" si="1">MID(A2,FIND("cache-path /",A2)+11,FIND(" ",A2,FIND("cache-path /",A2)+11)-FIND("cache-path /",A2)-11)</f>
        <v>#VALUE!</v>
      </c>
    </row>
  </sheetData>
  <phoneticPr fontId="4" type="noConversion"/>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A4C01-E278-4185-80F4-1A0106855E65}">
  <sheetPr codeName="Sheet5"/>
  <dimension ref="A1:I2"/>
  <sheetViews>
    <sheetView showGridLines="0" topLeftCell="C1" workbookViewId="0">
      <selection activeCell="H2" sqref="H2"/>
    </sheetView>
  </sheetViews>
  <sheetFormatPr defaultColWidth="9.21875" defaultRowHeight="10.199999999999999" x14ac:dyDescent="0.2"/>
  <cols>
    <col min="1" max="5" width="40.77734375" style="1" customWidth="1"/>
    <col min="6" max="7" width="9" style="1" customWidth="1"/>
    <col min="8" max="8" width="44.21875" style="1" bestFit="1" customWidth="1"/>
    <col min="9" max="9" width="16" style="1" bestFit="1" customWidth="1"/>
    <col min="10" max="16384" width="9.21875" style="1"/>
  </cols>
  <sheetData>
    <row r="1" spans="1:9" x14ac:dyDescent="0.2">
      <c r="A1" s="1" t="s">
        <v>87</v>
      </c>
      <c r="B1" s="1" t="s">
        <v>88</v>
      </c>
      <c r="C1" s="1" t="s">
        <v>89</v>
      </c>
      <c r="D1" s="1" t="s">
        <v>371</v>
      </c>
      <c r="E1" s="1" t="s">
        <v>90</v>
      </c>
      <c r="F1" s="1" t="s">
        <v>372</v>
      </c>
      <c r="G1" s="1" t="s">
        <v>373</v>
      </c>
      <c r="H1" s="1" t="s">
        <v>91</v>
      </c>
      <c r="I1" s="1" t="s">
        <v>442</v>
      </c>
    </row>
    <row r="2" spans="1:9" x14ac:dyDescent="0.2">
      <c r="F2" s="12"/>
      <c r="G2" s="12"/>
      <c r="I2" s="1" t="str">
        <f>SUBSTITUTE(CertificateDetails[[#This Row],[SAN]],CHAR(10),"")</f>
        <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0F96F-3803-49D4-ADC8-236BAFCCA2DA}">
  <sheetPr codeName="Sheet6"/>
  <dimension ref="A1:C2"/>
  <sheetViews>
    <sheetView showGridLines="0" workbookViewId="0">
      <pane ySplit="1" topLeftCell="A2" activePane="bottomLeft" state="frozen"/>
      <selection pane="bottomLeft"/>
    </sheetView>
  </sheetViews>
  <sheetFormatPr defaultColWidth="9.21875" defaultRowHeight="10.199999999999999" x14ac:dyDescent="0.2"/>
  <cols>
    <col min="1" max="1" width="42.21875" style="1" bestFit="1" customWidth="1"/>
    <col min="2" max="2" width="34.21875" style="1" bestFit="1" customWidth="1"/>
    <col min="3" max="3" width="60.21875" style="1" bestFit="1" customWidth="1"/>
    <col min="4" max="16384" width="9.21875" style="1"/>
  </cols>
  <sheetData>
    <row r="1" spans="1:3" x14ac:dyDescent="0.2">
      <c r="A1" s="2" t="s">
        <v>0</v>
      </c>
      <c r="B1" s="2" t="s">
        <v>23</v>
      </c>
      <c r="C1" s="2" t="s">
        <v>48</v>
      </c>
    </row>
    <row r="2" spans="1:3" x14ac:dyDescent="0.2">
      <c r="B2" s="1" t="e">
        <f t="shared" ref="B2" si="0">MID(A2,FIND("ssl-key /",A2)+8,FIND(" ",A2,FIND("ssl-key /",A2)+8)-FIND("ssl-key /",A2)-8)</f>
        <v>#VALUE!</v>
      </c>
      <c r="C2" s="1" t="e">
        <f t="shared" ref="C2" si="1">MID(A2,FIND("cache-path /",A2)+11,FIND(" ",A2,FIND("cache-path /",A2)+11)-FIND("cache-path /",A2)-11)</f>
        <v>#VALUE!</v>
      </c>
    </row>
  </sheetData>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FA890-F08A-412A-8F3A-2C4F34EA8C08}">
  <dimension ref="A1"/>
  <sheetViews>
    <sheetView workbookViewId="0"/>
  </sheetViews>
  <sheetFormatPr defaultRowHeight="14.4" x14ac:dyDescent="0.3"/>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5468B-8611-4BCB-9857-18C1B1FFB491}">
  <dimension ref="A1:D2"/>
  <sheetViews>
    <sheetView showGridLines="0" workbookViewId="0">
      <pane ySplit="1" topLeftCell="A2" activePane="bottomLeft" state="frozen"/>
      <selection activeCell="A2" sqref="A2"/>
      <selection pane="bottomLeft" activeCell="A2" sqref="A2"/>
    </sheetView>
  </sheetViews>
  <sheetFormatPr defaultColWidth="9.21875" defaultRowHeight="10.199999999999999" x14ac:dyDescent="0.2"/>
  <cols>
    <col min="1" max="1" width="42.21875" style="1" bestFit="1" customWidth="1"/>
    <col min="2" max="2" width="32.77734375" style="1" customWidth="1"/>
    <col min="3" max="3" width="9.21875" style="1"/>
    <col min="4" max="4" width="37.44140625" style="1" customWidth="1"/>
    <col min="5" max="16384" width="9.21875" style="1"/>
  </cols>
  <sheetData>
    <row r="1" spans="1:4" x14ac:dyDescent="0.2">
      <c r="A1" s="2" t="s">
        <v>0</v>
      </c>
      <c r="B1" s="2" t="s">
        <v>284</v>
      </c>
      <c r="C1" s="2" t="s">
        <v>285</v>
      </c>
      <c r="D1" s="2" t="s">
        <v>287</v>
      </c>
    </row>
    <row r="2" spans="1:4" x14ac:dyDescent="0.2">
      <c r="B2" s="5" t="e">
        <f t="shared" ref="B2" si="0">MID(A2,FIND("UI.logAccess.",A2)+13,FIND(":",A2,FIND("UI.logAccess.",A2)+13)-FIND("UI.logAccess.",A2)-14)</f>
        <v>#VALUE!</v>
      </c>
      <c r="C2" s="5" t="e">
        <f t="shared" ref="C2" si="1">MID(A2,FIND("default=",A2)+8,FIND(":",A2,FIND("default=",A2)+8)-FIND("default=",A2)-8)</f>
        <v>#VALUE!</v>
      </c>
      <c r="D2" s="5" t="e">
        <f>UIlogAccess[[#This Row],[ROLE]]&amp;":"&amp;UIlogAccess[[#This Row],[DEFAULT]]&amp;"@"</f>
        <v>#VALUE!</v>
      </c>
    </row>
  </sheetData>
  <phoneticPr fontId="4" type="noConversion"/>
  <pageMargins left="0.7" right="0.7" top="0.75" bottom="0.75"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6D1E3-8EDE-4B6E-B6DA-D21AD292E012}">
  <dimension ref="A1:C2"/>
  <sheetViews>
    <sheetView showGridLines="0" workbookViewId="0">
      <pane ySplit="1" topLeftCell="A2" activePane="bottomLeft" state="frozen"/>
      <selection activeCell="A2" sqref="A2"/>
      <selection pane="bottomLeft" activeCell="Q41" sqref="Q41"/>
    </sheetView>
  </sheetViews>
  <sheetFormatPr defaultColWidth="9.21875" defaultRowHeight="10.199999999999999" x14ac:dyDescent="0.2"/>
  <cols>
    <col min="1" max="1" width="42.21875" style="1" bestFit="1" customWidth="1"/>
    <col min="2" max="2" width="12" style="1" customWidth="1"/>
    <col min="3" max="16384" width="9.21875" style="1"/>
  </cols>
  <sheetData>
    <row r="1" spans="1:3" x14ac:dyDescent="0.2">
      <c r="A1" s="2" t="s">
        <v>0</v>
      </c>
      <c r="B1" s="2" t="s">
        <v>286</v>
      </c>
      <c r="C1" s="2" t="s">
        <v>285</v>
      </c>
    </row>
    <row r="2" spans="1:3" x14ac:dyDescent="0.2">
      <c r="B2" s="5" t="e">
        <f t="shared" ref="B2" si="0">MID(A2,FIND("[Config.Auditing]",A2),FIND(":",A2,FIND("[Config.Auditing]",A2))-FIND("[Config.Auditing]",A2))</f>
        <v>#VALUE!</v>
      </c>
      <c r="C2" s="5" t="e">
        <f t="shared" ref="C2" si="1">MID(A2,FIND("default=",A2)+8,FIND(":",A2,FIND("default=",A2)+8)-FIND("default=",A2)-8)</f>
        <v>#VALUE!</v>
      </c>
    </row>
  </sheetData>
  <phoneticPr fontId="4" type="noConversion"/>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7647-2C1D-4012-A460-524FD9EB9611}">
  <dimension ref="A1"/>
  <sheetViews>
    <sheetView topLeftCell="A6" workbookViewId="0"/>
  </sheetViews>
  <sheetFormatPr defaultRowHeight="14.4" x14ac:dyDescent="0.3"/>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F2C0C-77D8-4B97-840C-79062CC37F07}">
  <dimension ref="A1:D2"/>
  <sheetViews>
    <sheetView showGridLines="0" workbookViewId="0">
      <pane ySplit="1" topLeftCell="A2" activePane="bottomLeft" state="frozen"/>
      <selection activeCell="C13" sqref="C13"/>
      <selection pane="bottomLeft" activeCell="A2" sqref="A2"/>
    </sheetView>
  </sheetViews>
  <sheetFormatPr defaultColWidth="9.21875" defaultRowHeight="10.199999999999999" x14ac:dyDescent="0.2"/>
  <cols>
    <col min="1" max="1" width="47.44140625" style="1" bestFit="1" customWidth="1"/>
    <col min="2" max="2" width="12.21875" style="1" bestFit="1" customWidth="1"/>
    <col min="3" max="3" width="10.21875" style="1" bestFit="1" customWidth="1"/>
    <col min="4" max="16384" width="9.21875" style="1"/>
  </cols>
  <sheetData>
    <row r="1" spans="1:4" x14ac:dyDescent="0.2">
      <c r="A1" s="2" t="s">
        <v>0</v>
      </c>
      <c r="B1" s="2" t="s">
        <v>116</v>
      </c>
      <c r="C1" s="2" t="s">
        <v>117</v>
      </c>
      <c r="D1" s="2" t="s">
        <v>118</v>
      </c>
    </row>
    <row r="2" spans="1:4" x14ac:dyDescent="0.2">
      <c r="B2" s="1" t="e">
        <f t="shared" ref="B2" si="0">MID(MID(A2,FIND("net trunk ",A2)+10,100),1,FIND(" ",MID(A2,FIND("net trunk ",A2)+10,100))-1)</f>
        <v>#VALUE!</v>
      </c>
      <c r="C2" s="1" t="e">
        <f t="shared" ref="C2" si="1">MID(MID(A2,FIND("interfaces { ",A2)+13,100),1,FIND("}",MID(A2,FIND("interfaces { ",A2)+13,100))-2)</f>
        <v>#VALUE!</v>
      </c>
      <c r="D2" s="5" t="e">
        <f>IFERROR(MID(MID(A2,FIND("lacp ",A2)+5,100),1,FIND(" ",MID(A2,FIND("lacp ",A2)+5,100))-2),MID(MID(A2,FIND("lacp ",A2)+5,100),1,FIND("}",MID(A2,FIND("lacp ",A2)+5,100))-2))</f>
        <v>#VALUE!</v>
      </c>
    </row>
  </sheetData>
  <pageMargins left="0.7" right="0.7" top="0.75" bottom="0.75" header="0.3" footer="0.3"/>
  <pageSetup paperSize="9" orientation="portrait"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AAC4D-861B-4F4E-966F-616183DEECFF}">
  <dimension ref="A1:D2"/>
  <sheetViews>
    <sheetView showGridLines="0" workbookViewId="0">
      <pane ySplit="1" topLeftCell="A2" activePane="bottomLeft" state="frozen"/>
      <selection sqref="A1:B20"/>
      <selection pane="bottomLeft" activeCell="A2" sqref="A2"/>
    </sheetView>
  </sheetViews>
  <sheetFormatPr defaultColWidth="9.21875" defaultRowHeight="10.199999999999999" x14ac:dyDescent="0.2"/>
  <cols>
    <col min="1" max="1" width="47.44140625" style="1" bestFit="1" customWidth="1"/>
    <col min="2" max="16384" width="9.21875" style="1"/>
  </cols>
  <sheetData>
    <row r="1" spans="1:4" x14ac:dyDescent="0.2">
      <c r="A1" s="2" t="s">
        <v>0</v>
      </c>
      <c r="B1" s="3" t="s">
        <v>57</v>
      </c>
      <c r="C1" s="3" t="s">
        <v>349</v>
      </c>
      <c r="D1" s="3" t="s">
        <v>350</v>
      </c>
    </row>
    <row r="2" spans="1:4" x14ac:dyDescent="0.2">
      <c r="B2" s="1" t="e">
        <f t="shared" ref="B2" si="0">LEFT(A2,LEN(A2)-1)&amp;" }"</f>
        <v>#VALUE!</v>
      </c>
      <c r="C2" s="5" t="str">
        <f>IFERROR(MID($B2,FIND(C$1,$B2)+LEN(C$1),FIND(" ",$B2,FIND(C$1,$B2)+LEN(C$1))-FIND(C$1,$B2)-LEN(C$1)),"")</f>
        <v/>
      </c>
      <c r="D2" s="5" t="str">
        <f>IFERROR(MID($B2,FIND(D$1,$B2)+LEN(D$1),FIND(" } }",$B2,FIND(D$1,$B2)+LEN(D$1))-FIND(D$1,$B2)-LEN(D$1)),"")</f>
        <v/>
      </c>
    </row>
  </sheetData>
  <pageMargins left="0.7" right="0.7" top="0.75" bottom="0.75" header="0.3" footer="0.3"/>
  <pageSetup paperSize="9"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81DC-3D20-4462-8D09-FE991946B323}">
  <dimension ref="A1:E2"/>
  <sheetViews>
    <sheetView showGridLines="0" workbookViewId="0">
      <pane ySplit="1" topLeftCell="A2" activePane="bottomLeft" state="frozen"/>
      <selection sqref="A1:B20"/>
      <selection pane="bottomLeft" activeCell="A2" sqref="A2"/>
    </sheetView>
  </sheetViews>
  <sheetFormatPr defaultColWidth="9.21875" defaultRowHeight="10.199999999999999" x14ac:dyDescent="0.2"/>
  <cols>
    <col min="1" max="1" width="47.44140625" style="1" bestFit="1" customWidth="1"/>
    <col min="2" max="2" width="9.21875" style="1"/>
    <col min="3" max="3" width="15.21875" style="1" bestFit="1" customWidth="1"/>
    <col min="4" max="4" width="19.44140625" style="1" bestFit="1" customWidth="1"/>
    <col min="5" max="5" width="14.5546875" style="1" bestFit="1" customWidth="1"/>
    <col min="6" max="16384" width="9.21875" style="1"/>
  </cols>
  <sheetData>
    <row r="1" spans="1:5" x14ac:dyDescent="0.2">
      <c r="A1" s="2" t="s">
        <v>0</v>
      </c>
      <c r="B1" s="3" t="s">
        <v>57</v>
      </c>
      <c r="C1" s="3" t="s">
        <v>351</v>
      </c>
      <c r="D1" s="3" t="s">
        <v>352</v>
      </c>
      <c r="E1" s="3" t="s">
        <v>353</v>
      </c>
    </row>
    <row r="2" spans="1:5" x14ac:dyDescent="0.2">
      <c r="B2" s="1" t="e">
        <f t="shared" ref="B2" si="0">LEFT(A2,LEN(A2)-1)&amp;" }"</f>
        <v>#VALUE!</v>
      </c>
      <c r="C2" s="5" t="str">
        <f t="shared" ref="C2" si="1">IFERROR(MID($B2,FIND(C$1,$B2)+LEN(C$1),FIND(" ",$B2,FIND(C$1,$B2)+LEN(C$1))-FIND(C$1,$B2)-LEN(C$1)),"")</f>
        <v/>
      </c>
      <c r="D2" s="5" t="str">
        <f t="shared" ref="D2" si="2">IFERROR(MID($B2,FIND(D$1,$B2)+LEN(D$1),FIND(CHAR(34),$B2,FIND(D$1,$B2)+LEN(D$1))-FIND(D$1,$B2)-LEN(D$1)),"")</f>
        <v/>
      </c>
      <c r="E2" s="5" t="str">
        <f t="shared" ref="E2" si="3">IFERROR(MID($B2,FIND(E$1,$B2)+LEN(E$1),FIND(" ",$B2,FIND(E$1,$B2)+LEN(E$1))-FIND(E$1,$B2)-LEN(E$1)),"")</f>
        <v/>
      </c>
    </row>
  </sheetData>
  <pageMargins left="0.7" right="0.7" top="0.75" bottom="0.75" header="0.3" footer="0.3"/>
  <pageSetup paperSize="9" orientation="portrait"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DEC9-EF7F-415F-B9A5-A78F10F92691}">
  <dimension ref="A1:H2"/>
  <sheetViews>
    <sheetView showGridLines="0" workbookViewId="0">
      <pane ySplit="1" topLeftCell="A2" activePane="bottomLeft" state="frozen"/>
      <selection activeCell="C13" sqref="C13"/>
      <selection pane="bottomLeft"/>
    </sheetView>
  </sheetViews>
  <sheetFormatPr defaultColWidth="9.21875" defaultRowHeight="10.199999999999999" x14ac:dyDescent="0.2"/>
  <cols>
    <col min="1" max="1" width="52.77734375" style="1" customWidth="1"/>
    <col min="2" max="2" width="15.77734375" style="1" bestFit="1" customWidth="1"/>
    <col min="3" max="3" width="9.21875" style="1"/>
    <col min="4" max="4" width="13.77734375" style="1" customWidth="1"/>
    <col min="5" max="5" width="14.77734375" style="1" customWidth="1"/>
    <col min="6" max="6" width="29.77734375" style="1" bestFit="1" customWidth="1"/>
    <col min="7" max="16384" width="9.21875" style="1"/>
  </cols>
  <sheetData>
    <row r="1" spans="1:8" x14ac:dyDescent="0.2">
      <c r="A1" s="2" t="s">
        <v>0</v>
      </c>
      <c r="B1" s="2" t="s">
        <v>119</v>
      </c>
      <c r="C1" s="2" t="s">
        <v>120</v>
      </c>
      <c r="D1" s="2" t="s">
        <v>121</v>
      </c>
      <c r="E1" s="2" t="s">
        <v>122</v>
      </c>
      <c r="F1" s="2" t="s">
        <v>117</v>
      </c>
      <c r="G1" s="2" t="s">
        <v>123</v>
      </c>
      <c r="H1" s="2" t="s">
        <v>124</v>
      </c>
    </row>
    <row r="2" spans="1:8" x14ac:dyDescent="0.2">
      <c r="B2" s="1" t="e">
        <f>LEFT(SUBSTITUTE(A2,"net vlan /Common/",""),FIND(" ",SUBSTITUTE(A2,"net vlan /Common/",""))-1)</f>
        <v>#VALUE!</v>
      </c>
      <c r="C2" s="1" t="str">
        <f>IFERROR(MID(MID(A2,FIND(" failsafe ",A2)+10,50),1,FIND(" ",MID(A2,FIND(" failsafe ",A2)+10,50))),"")</f>
        <v/>
      </c>
      <c r="D2" s="1" t="str">
        <f>IFERROR(MID(MID(A2,FIND(" failsafe-action ",A2)+17,50),1,FIND(" ",MID(A2,FIND(" failsafe-action ",A2)+17,50))),"")</f>
        <v/>
      </c>
      <c r="E2" s="1" t="str">
        <f>IFERROR(MID(MID(A2,FIND(" failsafe-timeout ",A2)+18,50),1,FIND(" ",MID(A2,FIND(" failsafe-timeout ",A2)+18,50))-1),"")</f>
        <v/>
      </c>
      <c r="F2" s="1" t="str">
        <f t="shared" ref="F2" si="0">IFERROR(MID(MID(A2,FIND(" interfaces {",A2)+14,50),1,FIND("} }",MID(A2,FIND(" interfaces {",A2)+14,50))),"")</f>
        <v/>
      </c>
      <c r="G2" s="1" t="str">
        <f>IFERROR(MID(F2,FIND(" tagged ",F2)+1,6),"untagged")</f>
        <v>untagged</v>
      </c>
      <c r="H2" s="1" t="e">
        <f t="shared" ref="H2" si="1">MID(MID(A2,FIND(" tag ",A2)+5,50),1,FIND("}",MID(A2,FIND(" tag ",A2)+5,50))-1)</f>
        <v>#VALUE!</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32F5-839E-49F7-B7F8-08EE56FDE3F2}">
  <dimension ref="A1:F2"/>
  <sheetViews>
    <sheetView showGridLines="0" workbookViewId="0">
      <pane ySplit="1" topLeftCell="A2" activePane="bottomLeft" state="frozen"/>
      <selection activeCell="C13" sqref="C13"/>
      <selection pane="bottomLeft" activeCell="C1" sqref="C1"/>
    </sheetView>
  </sheetViews>
  <sheetFormatPr defaultColWidth="9.21875" defaultRowHeight="10.199999999999999" x14ac:dyDescent="0.2"/>
  <cols>
    <col min="1" max="1" width="67.21875" style="1" customWidth="1"/>
    <col min="2" max="2" width="25" style="1" bestFit="1" customWidth="1"/>
    <col min="3" max="3" width="21.5546875" style="1" bestFit="1" customWidth="1"/>
    <col min="4" max="4" width="24.5546875" style="1" bestFit="1" customWidth="1"/>
    <col min="5" max="5" width="16.44140625" style="1" bestFit="1" customWidth="1"/>
    <col min="6" max="6" width="17.44140625" style="1" bestFit="1" customWidth="1"/>
    <col min="7" max="16384" width="9.21875" style="1"/>
  </cols>
  <sheetData>
    <row r="1" spans="1:6" x14ac:dyDescent="0.2">
      <c r="A1" s="2" t="s">
        <v>0</v>
      </c>
      <c r="B1" s="2" t="s">
        <v>125</v>
      </c>
      <c r="C1" s="2" t="s">
        <v>401</v>
      </c>
      <c r="D1" s="2" t="s">
        <v>126</v>
      </c>
      <c r="E1" s="2" t="s">
        <v>127</v>
      </c>
      <c r="F1" s="2" t="s">
        <v>128</v>
      </c>
    </row>
    <row r="2" spans="1:6" x14ac:dyDescent="0.2">
      <c r="B2" s="1" t="e">
        <f>LEFT(SUBSTITUTE(A2,"net self /Common/",""),FIND(" ",SUBSTITUTE(A2,"net self /Common/",""))-1)</f>
        <v>#VALUE!</v>
      </c>
      <c r="C2" s="1" t="e">
        <f t="shared" ref="C2" si="0">MID(MID(A2,FIND("{ address ",A2,1)+10,100),1,FIND(" ",MID(A2,FIND("{ address ",A2,1)+10,100))-1)</f>
        <v>#VALUE!</v>
      </c>
      <c r="D2" s="1" t="str">
        <f>IFERROR(MID(MID(A2,FIND("allow-service ",A2)+14,200),1,FIND(" traffic-group ",MID(A2,FIND("allow-service ",A2)+14,200))-1),"none")</f>
        <v>none</v>
      </c>
      <c r="E2" s="1" t="e">
        <f>MID(MID(A2,FIND("traffic-group /",A2)+22,200),1,FIND(" ",MID(A2,FIND("traffic-group /",A2)+22,200))-1)</f>
        <v>#VALUE!</v>
      </c>
      <c r="F2" s="1" t="e">
        <f>SUBSTITUTE(MID(A2,FIND("vlan /Common",A2)+13,200),"}","")</f>
        <v>#VALUE!</v>
      </c>
    </row>
  </sheetData>
  <pageMargins left="0.7" right="0.7" top="0.75" bottom="0.75" header="0.3" footer="0.3"/>
  <pageSetup paperSize="9"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41BD-E00F-4768-8031-81E5B47AB537}">
  <dimension ref="A1:E2"/>
  <sheetViews>
    <sheetView showGridLines="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3" width="20" style="1" bestFit="1" customWidth="1"/>
    <col min="4" max="4" width="10" style="1" bestFit="1" customWidth="1"/>
    <col min="5" max="5" width="13.21875" style="1" bestFit="1" customWidth="1"/>
    <col min="6" max="16384" width="9.21875" style="1"/>
  </cols>
  <sheetData>
    <row r="1" spans="1:5" x14ac:dyDescent="0.2">
      <c r="A1" s="2" t="s">
        <v>0</v>
      </c>
      <c r="B1" s="3" t="s">
        <v>57</v>
      </c>
      <c r="C1" s="2" t="s">
        <v>23</v>
      </c>
      <c r="D1" s="2" t="s">
        <v>129</v>
      </c>
      <c r="E1" s="2" t="s">
        <v>106</v>
      </c>
    </row>
    <row r="2" spans="1:5" x14ac:dyDescent="0.2">
      <c r="B2" s="1" t="e">
        <f t="shared" ref="B2" si="0">LEFT(A2,LEN(A2)-1)&amp;" }"</f>
        <v>#VALUE!</v>
      </c>
      <c r="C2" s="1" t="e">
        <f t="shared" ref="C2" si="1">MID(A2,FIND("net route /",A2)+11,FIND(" ",A2,FIND("net route /",A2)+11)-FIND("net route /",A2)-11)</f>
        <v>#VALUE!</v>
      </c>
      <c r="D2" s="1" t="e">
        <f t="shared" ref="D2" si="2">MID(A2,FIND(" gw ",A2)+4,FIND(" ",A2,FIND(" gw ",A2)+4)-FIND(" gw ",A2)-4)</f>
        <v>#VALUE!</v>
      </c>
      <c r="E2" s="5" t="e">
        <f t="shared" ref="E2" si="3">MID(B2,FIND(" network ",B2)+9,FIND(" ",B2,FIND(" network ",B2)+9)-FIND(" network ",B2)-9)</f>
        <v>#VALUE!</v>
      </c>
    </row>
  </sheetData>
  <pageMargins left="0.7" right="0.7" top="0.75" bottom="0.75" header="0.3" footer="0.3"/>
  <pageSetup paperSize="9"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646D7-8338-4706-9874-A0C3E4227B73}">
  <dimension ref="A1"/>
  <sheetViews>
    <sheetView workbookViewId="0"/>
  </sheetViews>
  <sheetFormatPr defaultRowHeight="14.4" x14ac:dyDescent="0.3"/>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833C-075D-4283-9DB4-6DB90885FB42}">
  <sheetPr codeName="Sheet2"/>
  <dimension ref="A1:C41"/>
  <sheetViews>
    <sheetView showGridLines="0" workbookViewId="0">
      <selection activeCell="A2" sqref="A2"/>
    </sheetView>
  </sheetViews>
  <sheetFormatPr defaultColWidth="9.21875" defaultRowHeight="10.199999999999999" x14ac:dyDescent="0.2"/>
  <cols>
    <col min="1" max="1" width="44.21875" style="1" bestFit="1" customWidth="1"/>
    <col min="2" max="2" width="7.5546875" style="1" bestFit="1" customWidth="1"/>
    <col min="3" max="3" width="27" style="1" bestFit="1" customWidth="1"/>
    <col min="4" max="16384" width="9.21875" style="1"/>
  </cols>
  <sheetData>
    <row r="1" spans="1:3" x14ac:dyDescent="0.2">
      <c r="A1" s="11" t="s">
        <v>16</v>
      </c>
      <c r="B1" s="11" t="s">
        <v>15</v>
      </c>
      <c r="C1" s="11" t="s">
        <v>31</v>
      </c>
    </row>
    <row r="2" spans="1:3" x14ac:dyDescent="0.2">
      <c r="A2" s="1" t="s">
        <v>63</v>
      </c>
      <c r="B2" s="1" t="s">
        <v>13</v>
      </c>
      <c r="C2" s="1" t="s">
        <v>32</v>
      </c>
    </row>
    <row r="3" spans="1:3" x14ac:dyDescent="0.2">
      <c r="A3" s="1" t="s">
        <v>64</v>
      </c>
      <c r="B3" s="1" t="s">
        <v>13</v>
      </c>
      <c r="C3" s="1" t="s">
        <v>32</v>
      </c>
    </row>
    <row r="4" spans="1:3" x14ac:dyDescent="0.2">
      <c r="A4" s="1" t="s">
        <v>65</v>
      </c>
      <c r="B4" s="1" t="s">
        <v>13</v>
      </c>
      <c r="C4" s="1" t="s">
        <v>32</v>
      </c>
    </row>
    <row r="5" spans="1:3" x14ac:dyDescent="0.2">
      <c r="A5" s="1" t="s">
        <v>66</v>
      </c>
      <c r="B5" s="1" t="s">
        <v>14</v>
      </c>
      <c r="C5" s="1" t="s">
        <v>32</v>
      </c>
    </row>
    <row r="6" spans="1:3" x14ac:dyDescent="0.2">
      <c r="A6" s="1" t="s">
        <v>67</v>
      </c>
      <c r="B6" s="1" t="s">
        <v>14</v>
      </c>
      <c r="C6" s="1" t="s">
        <v>32</v>
      </c>
    </row>
    <row r="7" spans="1:3" x14ac:dyDescent="0.2">
      <c r="A7" s="1" t="s">
        <v>68</v>
      </c>
      <c r="B7" s="1" t="s">
        <v>14</v>
      </c>
      <c r="C7" s="1" t="s">
        <v>32</v>
      </c>
    </row>
    <row r="8" spans="1:3" x14ac:dyDescent="0.2">
      <c r="A8" s="1" t="s">
        <v>69</v>
      </c>
      <c r="B8" s="1" t="s">
        <v>14</v>
      </c>
      <c r="C8" s="1" t="s">
        <v>32</v>
      </c>
    </row>
    <row r="9" spans="1:3" x14ac:dyDescent="0.2">
      <c r="A9" s="1" t="s">
        <v>70</v>
      </c>
      <c r="B9" s="1" t="s">
        <v>14</v>
      </c>
      <c r="C9" s="1" t="s">
        <v>32</v>
      </c>
    </row>
    <row r="10" spans="1:3" x14ac:dyDescent="0.2">
      <c r="A10" s="1" t="s">
        <v>71</v>
      </c>
      <c r="B10" s="1" t="s">
        <v>14</v>
      </c>
      <c r="C10" s="1" t="s">
        <v>32</v>
      </c>
    </row>
    <row r="11" spans="1:3" x14ac:dyDescent="0.2">
      <c r="A11" s="1" t="s">
        <v>72</v>
      </c>
      <c r="B11" s="1" t="s">
        <v>14</v>
      </c>
      <c r="C11" s="1" t="s">
        <v>32</v>
      </c>
    </row>
    <row r="12" spans="1:3" x14ac:dyDescent="0.2">
      <c r="A12" s="1" t="s">
        <v>73</v>
      </c>
      <c r="B12" s="1" t="s">
        <v>14</v>
      </c>
      <c r="C12" s="1" t="s">
        <v>32</v>
      </c>
    </row>
    <row r="13" spans="1:3" x14ac:dyDescent="0.2">
      <c r="A13" s="1" t="s">
        <v>74</v>
      </c>
      <c r="B13" s="1" t="s">
        <v>14</v>
      </c>
      <c r="C13" s="1" t="s">
        <v>32</v>
      </c>
    </row>
    <row r="14" spans="1:3" x14ac:dyDescent="0.2">
      <c r="A14" s="1" t="s">
        <v>75</v>
      </c>
      <c r="B14" s="1" t="s">
        <v>14</v>
      </c>
      <c r="C14" s="1" t="s">
        <v>32</v>
      </c>
    </row>
    <row r="15" spans="1:3" x14ac:dyDescent="0.2">
      <c r="A15" s="1" t="s">
        <v>76</v>
      </c>
      <c r="B15" s="1" t="s">
        <v>14</v>
      </c>
      <c r="C15" s="1" t="s">
        <v>32</v>
      </c>
    </row>
    <row r="16" spans="1:3" x14ac:dyDescent="0.2">
      <c r="A16" s="1" t="s">
        <v>77</v>
      </c>
      <c r="B16" s="1" t="s">
        <v>14</v>
      </c>
      <c r="C16" s="1" t="s">
        <v>32</v>
      </c>
    </row>
    <row r="17" spans="1:3" x14ac:dyDescent="0.2">
      <c r="A17" s="1" t="s">
        <v>78</v>
      </c>
      <c r="B17" s="1" t="s">
        <v>14</v>
      </c>
      <c r="C17" s="1" t="s">
        <v>32</v>
      </c>
    </row>
    <row r="18" spans="1:3" x14ac:dyDescent="0.2">
      <c r="A18" s="1" t="s">
        <v>79</v>
      </c>
      <c r="B18" s="1" t="s">
        <v>14</v>
      </c>
      <c r="C18" s="1" t="s">
        <v>32</v>
      </c>
    </row>
    <row r="19" spans="1:3" x14ac:dyDescent="0.2">
      <c r="A19" s="1" t="s">
        <v>80</v>
      </c>
      <c r="B19" s="1" t="s">
        <v>14</v>
      </c>
      <c r="C19" s="1" t="s">
        <v>32</v>
      </c>
    </row>
    <row r="20" spans="1:3" x14ac:dyDescent="0.2">
      <c r="A20" s="1" t="s">
        <v>81</v>
      </c>
      <c r="B20" s="1" t="s">
        <v>14</v>
      </c>
      <c r="C20" s="1" t="s">
        <v>32</v>
      </c>
    </row>
    <row r="21" spans="1:3" x14ac:dyDescent="0.2">
      <c r="A21" s="1" t="s">
        <v>82</v>
      </c>
      <c r="B21" s="1" t="s">
        <v>14</v>
      </c>
      <c r="C21" s="1" t="s">
        <v>32</v>
      </c>
    </row>
    <row r="22" spans="1:3" x14ac:dyDescent="0.2">
      <c r="A22" s="1" t="s">
        <v>83</v>
      </c>
      <c r="B22" s="1" t="s">
        <v>14</v>
      </c>
      <c r="C22" s="1" t="s">
        <v>32</v>
      </c>
    </row>
    <row r="23" spans="1:3" x14ac:dyDescent="0.2">
      <c r="A23" s="1" t="s">
        <v>94</v>
      </c>
      <c r="B23" s="1" t="s">
        <v>95</v>
      </c>
      <c r="C23" s="1" t="s">
        <v>32</v>
      </c>
    </row>
    <row r="24" spans="1:3" x14ac:dyDescent="0.2">
      <c r="A24" s="1" t="s">
        <v>422</v>
      </c>
      <c r="B24" s="1" t="s">
        <v>423</v>
      </c>
      <c r="C24" s="1" t="s">
        <v>32</v>
      </c>
    </row>
    <row r="25" spans="1:3" x14ac:dyDescent="0.2">
      <c r="A25" s="1" t="s">
        <v>424</v>
      </c>
      <c r="B25" s="1" t="s">
        <v>423</v>
      </c>
      <c r="C25" s="1" t="s">
        <v>32</v>
      </c>
    </row>
    <row r="26" spans="1:3" x14ac:dyDescent="0.2">
      <c r="A26" s="1" t="s">
        <v>425</v>
      </c>
      <c r="B26" s="1" t="s">
        <v>423</v>
      </c>
      <c r="C26" s="1" t="s">
        <v>32</v>
      </c>
    </row>
    <row r="27" spans="1:3" x14ac:dyDescent="0.2">
      <c r="A27" s="1" t="s">
        <v>426</v>
      </c>
      <c r="B27" s="1" t="s">
        <v>423</v>
      </c>
      <c r="C27" s="1" t="s">
        <v>32</v>
      </c>
    </row>
    <row r="28" spans="1:3" x14ac:dyDescent="0.2">
      <c r="A28" s="1" t="s">
        <v>427</v>
      </c>
      <c r="B28" s="1" t="s">
        <v>423</v>
      </c>
      <c r="C28" s="1" t="s">
        <v>32</v>
      </c>
    </row>
    <row r="29" spans="1:3" x14ac:dyDescent="0.2">
      <c r="A29" s="1" t="s">
        <v>428</v>
      </c>
      <c r="B29" s="1" t="s">
        <v>423</v>
      </c>
      <c r="C29" s="1" t="s">
        <v>32</v>
      </c>
    </row>
    <row r="30" spans="1:3" x14ac:dyDescent="0.2">
      <c r="A30" s="1" t="s">
        <v>429</v>
      </c>
      <c r="B30" s="1" t="s">
        <v>423</v>
      </c>
      <c r="C30" s="1" t="s">
        <v>32</v>
      </c>
    </row>
    <row r="31" spans="1:3" x14ac:dyDescent="0.2">
      <c r="A31" s="1" t="s">
        <v>430</v>
      </c>
      <c r="B31" s="1" t="s">
        <v>431</v>
      </c>
      <c r="C31" s="1" t="s">
        <v>32</v>
      </c>
    </row>
    <row r="32" spans="1:3" x14ac:dyDescent="0.2">
      <c r="A32" s="1" t="s">
        <v>432</v>
      </c>
      <c r="B32" s="1" t="s">
        <v>431</v>
      </c>
      <c r="C32" s="1" t="s">
        <v>32</v>
      </c>
    </row>
    <row r="33" spans="1:3" x14ac:dyDescent="0.2">
      <c r="A33" s="1" t="s">
        <v>433</v>
      </c>
      <c r="B33" s="1" t="s">
        <v>431</v>
      </c>
      <c r="C33" s="1" t="s">
        <v>32</v>
      </c>
    </row>
    <row r="34" spans="1:3" x14ac:dyDescent="0.2">
      <c r="A34" s="1" t="s">
        <v>434</v>
      </c>
      <c r="B34" s="1" t="s">
        <v>431</v>
      </c>
      <c r="C34" s="1" t="s">
        <v>32</v>
      </c>
    </row>
    <row r="35" spans="1:3" x14ac:dyDescent="0.2">
      <c r="A35" s="1" t="s">
        <v>435</v>
      </c>
      <c r="B35" s="1" t="s">
        <v>431</v>
      </c>
      <c r="C35" s="1" t="s">
        <v>32</v>
      </c>
    </row>
    <row r="36" spans="1:3" x14ac:dyDescent="0.2">
      <c r="A36" s="1" t="s">
        <v>436</v>
      </c>
      <c r="B36" s="1" t="s">
        <v>431</v>
      </c>
      <c r="C36" s="1" t="s">
        <v>32</v>
      </c>
    </row>
    <row r="37" spans="1:3" x14ac:dyDescent="0.2">
      <c r="A37" s="1" t="s">
        <v>437</v>
      </c>
      <c r="B37" s="1" t="s">
        <v>431</v>
      </c>
      <c r="C37" s="1" t="s">
        <v>32</v>
      </c>
    </row>
    <row r="38" spans="1:3" x14ac:dyDescent="0.2">
      <c r="A38" s="1" t="s">
        <v>438</v>
      </c>
      <c r="B38" s="1" t="s">
        <v>431</v>
      </c>
      <c r="C38" s="1" t="s">
        <v>32</v>
      </c>
    </row>
    <row r="39" spans="1:3" x14ac:dyDescent="0.2">
      <c r="A39" s="1" t="s">
        <v>439</v>
      </c>
      <c r="B39" s="1" t="s">
        <v>431</v>
      </c>
      <c r="C39" s="1" t="s">
        <v>32</v>
      </c>
    </row>
    <row r="40" spans="1:3" x14ac:dyDescent="0.2">
      <c r="A40" s="1" t="s">
        <v>440</v>
      </c>
      <c r="B40" s="1" t="s">
        <v>431</v>
      </c>
      <c r="C40" s="1" t="s">
        <v>32</v>
      </c>
    </row>
    <row r="41" spans="1:3" x14ac:dyDescent="0.2">
      <c r="A41" s="1" t="s">
        <v>441</v>
      </c>
      <c r="B41" s="1" t="s">
        <v>431</v>
      </c>
      <c r="C41" s="1" t="s">
        <v>32</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B1CD8-D4E0-45BC-9F58-76BBE99F0168}">
  <sheetPr>
    <tabColor rgb="FFFFFF00"/>
  </sheetPr>
  <dimension ref="A1:C132"/>
  <sheetViews>
    <sheetView showGridLines="0" workbookViewId="0">
      <selection activeCell="A2" sqref="A2"/>
    </sheetView>
  </sheetViews>
  <sheetFormatPr defaultColWidth="9.21875" defaultRowHeight="10.199999999999999" x14ac:dyDescent="0.2"/>
  <cols>
    <col min="1" max="1" width="44.21875" style="1" bestFit="1" customWidth="1"/>
    <col min="2" max="2" width="14.77734375" style="1" bestFit="1" customWidth="1"/>
    <col min="3" max="3" width="27" style="1" bestFit="1" customWidth="1"/>
    <col min="4" max="16384" width="9.21875" style="1"/>
  </cols>
  <sheetData>
    <row r="1" spans="1:3" x14ac:dyDescent="0.2">
      <c r="A1" s="11" t="s">
        <v>0</v>
      </c>
      <c r="B1" s="11" t="s">
        <v>15</v>
      </c>
      <c r="C1" s="11" t="s">
        <v>16</v>
      </c>
    </row>
    <row r="2" spans="1:3" x14ac:dyDescent="0.2">
      <c r="A2" s="1" t="s">
        <v>444</v>
      </c>
      <c r="B2" s="1" t="str">
        <f t="shared" ref="B2:B33" si="0">MID(A2,FIND("ltm profile ",A2)+12,FIND(" ",A2,FIND("ltm profile ",A2)+12)-FIND("ltm profile ",A2)-12)</f>
        <v>certificate-authority</v>
      </c>
      <c r="C2" s="1" t="str" cm="1">
        <f t="array" ref="C2">INDEX(_xlfn.TEXTSPLIT(A2, " "), 4)</f>
        <v>certificateauthority</v>
      </c>
    </row>
    <row r="3" spans="1:3" x14ac:dyDescent="0.2">
      <c r="A3" s="1" t="s">
        <v>445</v>
      </c>
      <c r="B3" s="1" t="str">
        <f t="shared" si="0"/>
        <v>client-ssl</v>
      </c>
      <c r="C3" s="1" t="str" cm="1">
        <f t="array" ref="C3">INDEX(_xlfn.TEXTSPLIT(A3, " "), 4)</f>
        <v>clientssl</v>
      </c>
    </row>
    <row r="4" spans="1:3" x14ac:dyDescent="0.2">
      <c r="A4" s="1" t="s">
        <v>446</v>
      </c>
      <c r="B4" s="1" t="str">
        <f t="shared" si="0"/>
        <v>client-ssl</v>
      </c>
      <c r="C4" s="1" t="str" cm="1">
        <f t="array" ref="C4">INDEX(_xlfn.TEXTSPLIT(A4, " "), 4)</f>
        <v>clientssl-legacy</v>
      </c>
    </row>
    <row r="5" spans="1:3" x14ac:dyDescent="0.2">
      <c r="A5" s="1" t="s">
        <v>447</v>
      </c>
      <c r="B5" s="1" t="str">
        <f t="shared" si="0"/>
        <v>client-ssl</v>
      </c>
      <c r="C5" s="1" t="str" cm="1">
        <f t="array" ref="C5">INDEX(_xlfn.TEXTSPLIT(A5, " "), 4)</f>
        <v>clientssl-insecure-compatible</v>
      </c>
    </row>
    <row r="6" spans="1:3" x14ac:dyDescent="0.2">
      <c r="A6" s="1" t="s">
        <v>448</v>
      </c>
      <c r="B6" s="1" t="str">
        <f t="shared" si="0"/>
        <v>client-ssl</v>
      </c>
      <c r="C6" s="1" t="str" cm="1">
        <f t="array" ref="C6">INDEX(_xlfn.TEXTSPLIT(A6, " "), 4)</f>
        <v>wom-default-clientssl</v>
      </c>
    </row>
    <row r="7" spans="1:3" x14ac:dyDescent="0.2">
      <c r="A7" s="1" t="s">
        <v>449</v>
      </c>
      <c r="B7" s="1" t="str">
        <f t="shared" si="0"/>
        <v>client-ssl</v>
      </c>
      <c r="C7" s="1" t="str" cm="1">
        <f t="array" ref="C7">INDEX(_xlfn.TEXTSPLIT(A7, " "), 4)</f>
        <v>crypto-server-default-clientssl</v>
      </c>
    </row>
    <row r="8" spans="1:3" x14ac:dyDescent="0.2">
      <c r="A8" s="1" t="s">
        <v>450</v>
      </c>
      <c r="B8" s="1" t="str">
        <f t="shared" si="0"/>
        <v>client-ssl</v>
      </c>
      <c r="C8" s="1" t="str" cm="1">
        <f t="array" ref="C8">INDEX(_xlfn.TEXTSPLIT(A8, " "), 4)</f>
        <v>clientssl-secure</v>
      </c>
    </row>
    <row r="9" spans="1:3" x14ac:dyDescent="0.2">
      <c r="A9" s="1" t="s">
        <v>451</v>
      </c>
      <c r="B9" s="1" t="str">
        <f t="shared" si="0"/>
        <v>client-ssl</v>
      </c>
      <c r="C9" s="1" t="str" cm="1">
        <f t="array" ref="C9">INDEX(_xlfn.TEXTSPLIT(A9, " "), 4)</f>
        <v>splitsession-default-clientssl</v>
      </c>
    </row>
    <row r="10" spans="1:3" x14ac:dyDescent="0.2">
      <c r="A10" s="1" t="s">
        <v>452</v>
      </c>
      <c r="B10" s="1" t="str">
        <f t="shared" si="0"/>
        <v>client-ssl</v>
      </c>
      <c r="C10" s="1" t="str" cm="1">
        <f t="array" ref="C10">INDEX(_xlfn.TEXTSPLIT(A10, " "), 4)</f>
        <v>clientssl-quic</v>
      </c>
    </row>
    <row r="11" spans="1:3" x14ac:dyDescent="0.2">
      <c r="A11" s="1" t="s">
        <v>453</v>
      </c>
      <c r="B11" s="1" t="str">
        <f t="shared" si="0"/>
        <v>client-ssl</v>
      </c>
      <c r="C11" s="1" t="str" cm="1">
        <f t="array" ref="C11">INDEX(_xlfn.TEXTSPLIT(A11, " "), 4)</f>
        <v>s3-default-clientssl</v>
      </c>
    </row>
    <row r="12" spans="1:3" x14ac:dyDescent="0.2">
      <c r="A12" s="1" t="s">
        <v>454</v>
      </c>
      <c r="B12" s="1" t="str">
        <f t="shared" si="0"/>
        <v>server-ssl</v>
      </c>
      <c r="C12" s="1" t="str" cm="1">
        <f t="array" ref="C12">INDEX(_xlfn.TEXTSPLIT(A12, " "), 4)</f>
        <v>splitsession-default-serverssl</v>
      </c>
    </row>
    <row r="13" spans="1:3" x14ac:dyDescent="0.2">
      <c r="A13" s="1" t="s">
        <v>455</v>
      </c>
      <c r="B13" s="1" t="str">
        <f t="shared" si="0"/>
        <v>server-ssl</v>
      </c>
      <c r="C13" s="1" t="str" cm="1">
        <f t="array" ref="C13">INDEX(_xlfn.TEXTSPLIT(A13, " "), 4)</f>
        <v>cloud-service-default-ssl</v>
      </c>
    </row>
    <row r="14" spans="1:3" x14ac:dyDescent="0.2">
      <c r="A14" s="1" t="s">
        <v>456</v>
      </c>
      <c r="B14" s="1" t="str">
        <f t="shared" si="0"/>
        <v>server-ssl</v>
      </c>
      <c r="C14" s="1" t="str" cm="1">
        <f t="array" ref="C14">INDEX(_xlfn.TEXTSPLIT(A14, " "), 4)</f>
        <v>f5aas-default-ssl</v>
      </c>
    </row>
    <row r="15" spans="1:3" x14ac:dyDescent="0.2">
      <c r="A15" s="1" t="s">
        <v>457</v>
      </c>
      <c r="B15" s="1" t="str">
        <f t="shared" si="0"/>
        <v>server-ssl</v>
      </c>
      <c r="C15" s="1" t="str" cm="1">
        <f t="array" ref="C15">INDEX(_xlfn.TEXTSPLIT(A15, " "), 4)</f>
        <v>shape-api-ssl</v>
      </c>
    </row>
    <row r="16" spans="1:3" x14ac:dyDescent="0.2">
      <c r="A16" s="1" t="s">
        <v>458</v>
      </c>
      <c r="B16" s="1" t="str">
        <f t="shared" si="0"/>
        <v>dns</v>
      </c>
      <c r="C16" s="1" t="str" cm="1">
        <f t="array" ref="C16">INDEX(_xlfn.TEXTSPLIT(A16, " "), 4)</f>
        <v>dns</v>
      </c>
    </row>
    <row r="17" spans="1:3" x14ac:dyDescent="0.2">
      <c r="A17" s="1" t="s">
        <v>459</v>
      </c>
      <c r="B17" s="1" t="str">
        <f t="shared" si="0"/>
        <v>dns-acceleration</v>
      </c>
      <c r="C17" s="1" t="str" cm="1">
        <f t="array" ref="C17">INDEX(_xlfn.TEXTSPLIT(A17, " "), 4)</f>
        <v>dns-acceleration</v>
      </c>
    </row>
    <row r="18" spans="1:3" x14ac:dyDescent="0.2">
      <c r="A18" s="1" t="s">
        <v>460</v>
      </c>
      <c r="B18" s="1" t="str">
        <f t="shared" si="0"/>
        <v>doh-server</v>
      </c>
      <c r="C18" s="1" t="str" cm="1">
        <f t="array" ref="C18">INDEX(_xlfn.TEXTSPLIT(A18, " "), 4)</f>
        <v>doh-server</v>
      </c>
    </row>
    <row r="19" spans="1:3" x14ac:dyDescent="0.2">
      <c r="A19" s="1" t="s">
        <v>461</v>
      </c>
      <c r="B19" s="1" t="str">
        <f t="shared" si="0"/>
        <v>doh-proxy</v>
      </c>
      <c r="C19" s="1" t="str" cm="1">
        <f t="array" ref="C19">INDEX(_xlfn.TEXTSPLIT(A19, " "), 4)</f>
        <v>doh-proxy</v>
      </c>
    </row>
    <row r="20" spans="1:3" x14ac:dyDescent="0.2">
      <c r="A20" s="1" t="s">
        <v>462</v>
      </c>
      <c r="B20" s="1" t="str">
        <f t="shared" si="0"/>
        <v>diameter</v>
      </c>
      <c r="C20" s="1" t="str" cm="1">
        <f t="array" ref="C20">INDEX(_xlfn.TEXTSPLIT(A20, " "), 4)</f>
        <v>diameter</v>
      </c>
    </row>
    <row r="21" spans="1:3" x14ac:dyDescent="0.2">
      <c r="A21" s="1" t="s">
        <v>463</v>
      </c>
      <c r="B21" s="1" t="str">
        <f t="shared" si="0"/>
        <v>request-adapt</v>
      </c>
      <c r="C21" s="1" t="str" cm="1">
        <f t="array" ref="C21">INDEX(_xlfn.TEXTSPLIT(A21, " "), 4)</f>
        <v>requestadapt</v>
      </c>
    </row>
    <row r="22" spans="1:3" x14ac:dyDescent="0.2">
      <c r="A22" s="1" t="s">
        <v>464</v>
      </c>
      <c r="B22" s="1" t="str">
        <f t="shared" si="0"/>
        <v>response-adapt</v>
      </c>
      <c r="C22" s="1" t="str" cm="1">
        <f t="array" ref="C22">INDEX(_xlfn.TEXTSPLIT(A22, " "), 4)</f>
        <v>responseadapt</v>
      </c>
    </row>
    <row r="23" spans="1:3" x14ac:dyDescent="0.2">
      <c r="A23" s="1" t="s">
        <v>465</v>
      </c>
      <c r="B23" s="1" t="str">
        <f t="shared" si="0"/>
        <v>icap</v>
      </c>
      <c r="C23" s="1" t="str" cm="1">
        <f t="array" ref="C23">INDEX(_xlfn.TEXTSPLIT(A23, " "), 4)</f>
        <v>icap</v>
      </c>
    </row>
    <row r="24" spans="1:3" x14ac:dyDescent="0.2">
      <c r="A24" s="1" t="s">
        <v>466</v>
      </c>
      <c r="B24" s="1" t="str">
        <f t="shared" si="0"/>
        <v>connector</v>
      </c>
      <c r="C24" s="1" t="str" cm="1">
        <f t="array" ref="C24">INDEX(_xlfn.TEXTSPLIT(A24, " "), 4)</f>
        <v>connector</v>
      </c>
    </row>
    <row r="25" spans="1:3" x14ac:dyDescent="0.2">
      <c r="A25" s="1" t="s">
        <v>467</v>
      </c>
      <c r="B25" s="1" t="str">
        <f t="shared" si="0"/>
        <v>service</v>
      </c>
      <c r="C25" s="1" t="str" cm="1">
        <f t="array" ref="C25">INDEX(_xlfn.TEXTSPLIT(A25, " "), 4)</f>
        <v>service</v>
      </c>
    </row>
    <row r="26" spans="1:3" x14ac:dyDescent="0.2">
      <c r="A26" s="1" t="s">
        <v>468</v>
      </c>
      <c r="B26" s="1" t="str">
        <f t="shared" si="0"/>
        <v>ocsp</v>
      </c>
      <c r="C26" s="1" t="str" cm="1">
        <f t="array" ref="C26">INDEX(_xlfn.TEXTSPLIT(A26, " "), 4)</f>
        <v>ocsp</v>
      </c>
    </row>
    <row r="27" spans="1:3" x14ac:dyDescent="0.2">
      <c r="A27" s="1" t="s">
        <v>469</v>
      </c>
      <c r="B27" s="1" t="str">
        <f t="shared" si="0"/>
        <v>qoe</v>
      </c>
      <c r="C27" s="1" t="str" cm="1">
        <f t="array" ref="C27">INDEX(_xlfn.TEXTSPLIT(A27, " "), 4)</f>
        <v>qoe</v>
      </c>
    </row>
    <row r="28" spans="1:3" x14ac:dyDescent="0.2">
      <c r="A28" s="1" t="s">
        <v>470</v>
      </c>
      <c r="B28" s="1" t="str">
        <f t="shared" si="0"/>
        <v>traffic-acceleration</v>
      </c>
      <c r="C28" s="1" t="str" cm="1">
        <f t="array" ref="C28">INDEX(_xlfn.TEXTSPLIT(A28, " "), 4)</f>
        <v>traffic-acceleration</v>
      </c>
    </row>
    <row r="29" spans="1:3" x14ac:dyDescent="0.2">
      <c r="A29" s="1" t="s">
        <v>471</v>
      </c>
      <c r="B29" s="1" t="str">
        <f t="shared" si="0"/>
        <v>gtp</v>
      </c>
      <c r="C29" s="1" t="str" cm="1">
        <f t="array" ref="C29">INDEX(_xlfn.TEXTSPLIT(A29, " "), 4)</f>
        <v>gtp</v>
      </c>
    </row>
    <row r="30" spans="1:3" x14ac:dyDescent="0.2">
      <c r="A30" s="1" t="s">
        <v>472</v>
      </c>
      <c r="B30" s="1" t="str">
        <f t="shared" si="0"/>
        <v>fix</v>
      </c>
      <c r="C30" s="1" t="str" cm="1">
        <f t="array" ref="C30">INDEX(_xlfn.TEXTSPLIT(A30, " "), 4)</f>
        <v>fix</v>
      </c>
    </row>
    <row r="31" spans="1:3" x14ac:dyDescent="0.2">
      <c r="A31" s="1" t="s">
        <v>473</v>
      </c>
      <c r="B31" s="1" t="str">
        <f t="shared" si="0"/>
        <v>mr-ratelimit</v>
      </c>
      <c r="C31" s="1" t="str" cm="1">
        <f t="array" ref="C31">INDEX(_xlfn.TEXTSPLIT(A31, " "), 4)</f>
        <v>mr-ratelimit</v>
      </c>
    </row>
    <row r="32" spans="1:3" x14ac:dyDescent="0.2">
      <c r="A32" s="1" t="s">
        <v>474</v>
      </c>
      <c r="B32" s="1" t="str">
        <f t="shared" si="0"/>
        <v>georedundancy</v>
      </c>
      <c r="C32" s="1" t="str" cm="1">
        <f t="array" ref="C32">INDEX(_xlfn.TEXTSPLIT(A32, " "), 4)</f>
        <v>georedundancy</v>
      </c>
    </row>
    <row r="33" spans="1:3" x14ac:dyDescent="0.2">
      <c r="A33" s="1" t="s">
        <v>475</v>
      </c>
      <c r="B33" s="1" t="str">
        <f t="shared" si="0"/>
        <v>fasthttp</v>
      </c>
      <c r="C33" s="1" t="str" cm="1">
        <f t="array" ref="C33">INDEX(_xlfn.TEXTSPLIT(A33, " "), 4)</f>
        <v>fasthttp</v>
      </c>
    </row>
    <row r="34" spans="1:3" x14ac:dyDescent="0.2">
      <c r="A34" s="1" t="s">
        <v>476</v>
      </c>
      <c r="B34" s="1" t="str">
        <f t="shared" ref="B34:B65" si="1">MID(A34,FIND("ltm profile ",A34)+12,FIND(" ",A34,FIND("ltm profile ",A34)+12)-FIND("ltm profile ",A34)-12)</f>
        <v>fastl4</v>
      </c>
      <c r="C34" s="1" t="str" cm="1">
        <f t="array" ref="C34">INDEX(_xlfn.TEXTSPLIT(A34, " "), 4)</f>
        <v>fastL4</v>
      </c>
    </row>
    <row r="35" spans="1:3" x14ac:dyDescent="0.2">
      <c r="A35" s="1" t="s">
        <v>477</v>
      </c>
      <c r="B35" s="1" t="str">
        <f t="shared" si="1"/>
        <v>fastl4</v>
      </c>
      <c r="C35" s="1" t="str" cm="1">
        <f t="array" ref="C35">INDEX(_xlfn.TEXTSPLIT(A35, " "), 4)</f>
        <v>security-fastL4</v>
      </c>
    </row>
    <row r="36" spans="1:3" x14ac:dyDescent="0.2">
      <c r="A36" s="1" t="s">
        <v>478</v>
      </c>
      <c r="B36" s="1" t="str">
        <f t="shared" si="1"/>
        <v>netflow</v>
      </c>
      <c r="C36" s="1" t="str" cm="1">
        <f t="array" ref="C36">INDEX(_xlfn.TEXTSPLIT(A36, " "), 4)</f>
        <v>netflow</v>
      </c>
    </row>
    <row r="37" spans="1:3" x14ac:dyDescent="0.2">
      <c r="A37" s="1" t="s">
        <v>479</v>
      </c>
      <c r="B37" s="1" t="str">
        <f t="shared" si="1"/>
        <v>fastl4</v>
      </c>
      <c r="C37" s="1" t="str" cm="1">
        <f t="array" ref="C37">INDEX(_xlfn.TEXTSPLIT(A37, " "), 4)</f>
        <v>full-acceleration</v>
      </c>
    </row>
    <row r="38" spans="1:3" x14ac:dyDescent="0.2">
      <c r="A38" s="1" t="s">
        <v>480</v>
      </c>
      <c r="B38" s="1" t="str">
        <f t="shared" si="1"/>
        <v>ftp</v>
      </c>
      <c r="C38" s="1" t="str" cm="1">
        <f t="array" ref="C38">INDEX(_xlfn.TEXTSPLIT(A38, " "), 4)</f>
        <v>ftp</v>
      </c>
    </row>
    <row r="39" spans="1:3" x14ac:dyDescent="0.2">
      <c r="A39" s="1" t="s">
        <v>481</v>
      </c>
      <c r="B39" s="1" t="str">
        <f t="shared" si="1"/>
        <v>tftp</v>
      </c>
      <c r="C39" s="1" t="str" cm="1">
        <f t="array" ref="C39">INDEX(_xlfn.TEXTSPLIT(A39, " "), 4)</f>
        <v>tftp</v>
      </c>
    </row>
    <row r="40" spans="1:3" x14ac:dyDescent="0.2">
      <c r="A40" s="1" t="s">
        <v>482</v>
      </c>
      <c r="B40" s="1" t="str">
        <f t="shared" si="1"/>
        <v>ipsecalg</v>
      </c>
      <c r="C40" s="1" t="str" cm="1">
        <f t="array" ref="C40">INDEX(_xlfn.TEXTSPLIT(A40, " "), 4)</f>
        <v>ipsecalg</v>
      </c>
    </row>
    <row r="41" spans="1:3" x14ac:dyDescent="0.2">
      <c r="A41" s="1" t="s">
        <v>483</v>
      </c>
      <c r="B41" s="1" t="str">
        <f t="shared" si="1"/>
        <v>html</v>
      </c>
      <c r="C41" s="1" t="str" cm="1">
        <f t="array" ref="C41">INDEX(_xlfn.TEXTSPLIT(A41, " "), 4)</f>
        <v>html</v>
      </c>
    </row>
    <row r="42" spans="1:3" x14ac:dyDescent="0.2">
      <c r="A42" s="1" t="s">
        <v>484</v>
      </c>
      <c r="B42" s="1" t="str">
        <f t="shared" si="1"/>
        <v>http</v>
      </c>
      <c r="C42" s="1" t="str" cm="1">
        <f t="array" ref="C42">INDEX(_xlfn.TEXTSPLIT(A42, " "), 4)</f>
        <v>http</v>
      </c>
    </row>
    <row r="43" spans="1:3" x14ac:dyDescent="0.2">
      <c r="A43" s="1" t="s">
        <v>485</v>
      </c>
      <c r="B43" s="1" t="str">
        <f t="shared" si="1"/>
        <v>http</v>
      </c>
      <c r="C43" s="1" t="str" cm="1">
        <f t="array" ref="C43">INDEX(_xlfn.TEXTSPLIT(A43, " "), 4)</f>
        <v>http-transparent</v>
      </c>
    </row>
    <row r="44" spans="1:3" x14ac:dyDescent="0.2">
      <c r="A44" s="1" t="s">
        <v>486</v>
      </c>
      <c r="B44" s="1" t="str">
        <f t="shared" si="1"/>
        <v>http</v>
      </c>
      <c r="C44" s="1" t="str" cm="1">
        <f t="array" ref="C44">INDEX(_xlfn.TEXTSPLIT(A44, " "), 4)</f>
        <v>http-explicit</v>
      </c>
    </row>
    <row r="45" spans="1:3" x14ac:dyDescent="0.2">
      <c r="A45" s="1" t="s">
        <v>487</v>
      </c>
      <c r="B45" s="1" t="str">
        <f t="shared" si="1"/>
        <v>httprouter</v>
      </c>
      <c r="C45" s="1" t="str" cm="1">
        <f t="array" ref="C45">INDEX(_xlfn.TEXTSPLIT(A45, " "), 4)</f>
        <v>httprouter</v>
      </c>
    </row>
    <row r="46" spans="1:3" x14ac:dyDescent="0.2">
      <c r="A46" s="1" t="s">
        <v>488</v>
      </c>
      <c r="B46" s="1" t="str">
        <f t="shared" si="1"/>
        <v>http2</v>
      </c>
      <c r="C46" s="1" t="str" cm="1">
        <f t="array" ref="C46">INDEX(_xlfn.TEXTSPLIT(A46, " "), 4)</f>
        <v>http2</v>
      </c>
    </row>
    <row r="47" spans="1:3" x14ac:dyDescent="0.2">
      <c r="A47" s="1" t="s">
        <v>489</v>
      </c>
      <c r="B47" s="1" t="str">
        <f t="shared" si="1"/>
        <v>http3</v>
      </c>
      <c r="C47" s="1" t="str" cm="1">
        <f t="array" ref="C47">INDEX(_xlfn.TEXTSPLIT(A47, " "), 4)</f>
        <v>http3</v>
      </c>
    </row>
    <row r="48" spans="1:3" x14ac:dyDescent="0.2">
      <c r="A48" s="1" t="s">
        <v>490</v>
      </c>
      <c r="B48" s="1" t="str">
        <f t="shared" si="1"/>
        <v>quic</v>
      </c>
      <c r="C48" s="1" t="str" cm="1">
        <f t="array" ref="C48">INDEX(_xlfn.TEXTSPLIT(A48, " "), 4)</f>
        <v>quic</v>
      </c>
    </row>
    <row r="49" spans="1:3" x14ac:dyDescent="0.2">
      <c r="A49" s="1" t="s">
        <v>491</v>
      </c>
      <c r="B49" s="1" t="str">
        <f t="shared" si="1"/>
        <v>websocket</v>
      </c>
      <c r="C49" s="1" t="str" cm="1">
        <f t="array" ref="C49">INDEX(_xlfn.TEXTSPLIT(A49, " "), 4)</f>
        <v>websocket</v>
      </c>
    </row>
    <row r="50" spans="1:3" x14ac:dyDescent="0.2">
      <c r="A50" s="1" t="s">
        <v>492</v>
      </c>
      <c r="B50" s="1" t="str">
        <f t="shared" si="1"/>
        <v>splitsessionclient</v>
      </c>
      <c r="C50" s="1" t="str" cm="1">
        <f t="array" ref="C50">INDEX(_xlfn.TEXTSPLIT(A50, " "), 4)</f>
        <v>splitsessionclient</v>
      </c>
    </row>
    <row r="51" spans="1:3" x14ac:dyDescent="0.2">
      <c r="A51" s="1" t="s">
        <v>493</v>
      </c>
      <c r="B51" s="1" t="str">
        <f t="shared" si="1"/>
        <v>splitsessionserver</v>
      </c>
      <c r="C51" s="1" t="str" cm="1">
        <f t="array" ref="C51">INDEX(_xlfn.TEXTSPLIT(A51, " "), 4)</f>
        <v>splitsessionserver</v>
      </c>
    </row>
    <row r="52" spans="1:3" x14ac:dyDescent="0.2">
      <c r="A52" s="1" t="s">
        <v>494</v>
      </c>
      <c r="B52" s="1" t="str">
        <f t="shared" si="1"/>
        <v>http-proxy-connect</v>
      </c>
      <c r="C52" s="1" t="str" cm="1">
        <f t="array" ref="C52">INDEX(_xlfn.TEXTSPLIT(A52, " "), 4)</f>
        <v>http-proxy-connect</v>
      </c>
    </row>
    <row r="53" spans="1:3" x14ac:dyDescent="0.2">
      <c r="A53" s="1" t="s">
        <v>495</v>
      </c>
      <c r="B53" s="1" t="str">
        <f t="shared" si="1"/>
        <v>pop3</v>
      </c>
      <c r="C53" s="1" t="str" cm="1">
        <f t="array" ref="C53">INDEX(_xlfn.TEXTSPLIT(A53, " "), 4)</f>
        <v>pop3</v>
      </c>
    </row>
    <row r="54" spans="1:3" x14ac:dyDescent="0.2">
      <c r="A54" s="1" t="s">
        <v>496</v>
      </c>
      <c r="B54" s="1" t="str">
        <f t="shared" si="1"/>
        <v>aimcp</v>
      </c>
      <c r="C54" s="1" t="str" cm="1">
        <f t="array" ref="C54">INDEX(_xlfn.TEXTSPLIT(A54, " "), 4)</f>
        <v>aimcp</v>
      </c>
    </row>
    <row r="55" spans="1:3" x14ac:dyDescent="0.2">
      <c r="A55" s="1" t="s">
        <v>497</v>
      </c>
      <c r="B55" s="1" t="str">
        <f t="shared" si="1"/>
        <v>imap</v>
      </c>
      <c r="C55" s="1" t="str" cm="1">
        <f t="array" ref="C55">INDEX(_xlfn.TEXTSPLIT(A55, " "), 4)</f>
        <v>imap</v>
      </c>
    </row>
    <row r="56" spans="1:3" x14ac:dyDescent="0.2">
      <c r="A56" s="1" t="s">
        <v>498</v>
      </c>
      <c r="B56" s="1" t="str">
        <f t="shared" si="1"/>
        <v>smtps</v>
      </c>
      <c r="C56" s="1" t="str" cm="1">
        <f t="array" ref="C56">INDEX(_xlfn.TEXTSPLIT(A56, " "), 4)</f>
        <v>smtps</v>
      </c>
    </row>
    <row r="57" spans="1:3" x14ac:dyDescent="0.2">
      <c r="A57" s="1" t="s">
        <v>499</v>
      </c>
      <c r="B57" s="1" t="str">
        <f t="shared" si="1"/>
        <v>client-ldap</v>
      </c>
      <c r="C57" s="1" t="str" cm="1">
        <f t="array" ref="C57">INDEX(_xlfn.TEXTSPLIT(A57, " "), 4)</f>
        <v>clientldap</v>
      </c>
    </row>
    <row r="58" spans="1:3" x14ac:dyDescent="0.2">
      <c r="A58" s="1" t="s">
        <v>500</v>
      </c>
      <c r="B58" s="1" t="str">
        <f t="shared" si="1"/>
        <v>server-ldap</v>
      </c>
      <c r="C58" s="1" t="str" cm="1">
        <f t="array" ref="C58">INDEX(_xlfn.TEXTSPLIT(A58, " "), 4)</f>
        <v>serverldap</v>
      </c>
    </row>
    <row r="59" spans="1:3" x14ac:dyDescent="0.2">
      <c r="A59" s="1" t="s">
        <v>501</v>
      </c>
      <c r="B59" s="1" t="str">
        <f t="shared" si="1"/>
        <v>mqtt</v>
      </c>
      <c r="C59" s="1" t="str" cm="1">
        <f t="array" ref="C59">INDEX(_xlfn.TEXTSPLIT(A59, " "), 4)</f>
        <v>mqtt</v>
      </c>
    </row>
    <row r="60" spans="1:3" x14ac:dyDescent="0.2">
      <c r="A60" s="1" t="s">
        <v>502</v>
      </c>
      <c r="B60" s="1" t="str">
        <f t="shared" si="1"/>
        <v>http-compression</v>
      </c>
      <c r="C60" s="1" t="str" cm="1">
        <f t="array" ref="C60">INDEX(_xlfn.TEXTSPLIT(A60, " "), 4)</f>
        <v>httpcompression</v>
      </c>
    </row>
    <row r="61" spans="1:3" x14ac:dyDescent="0.2">
      <c r="A61" s="1" t="s">
        <v>503</v>
      </c>
      <c r="B61" s="1" t="str">
        <f t="shared" si="1"/>
        <v>http-compression</v>
      </c>
      <c r="C61" s="1" t="str" cm="1">
        <f t="array" ref="C61">INDEX(_xlfn.TEXTSPLIT(A61, " "), 4)</f>
        <v>wan-optimized-compression</v>
      </c>
    </row>
    <row r="62" spans="1:3" x14ac:dyDescent="0.2">
      <c r="A62" s="1" t="s">
        <v>504</v>
      </c>
      <c r="B62" s="1" t="str">
        <f t="shared" si="1"/>
        <v>one-connect</v>
      </c>
      <c r="C62" s="1" t="str" cm="1">
        <f t="array" ref="C62">INDEX(_xlfn.TEXTSPLIT(A62, " "), 4)</f>
        <v>oneconnect</v>
      </c>
    </row>
    <row r="63" spans="1:3" x14ac:dyDescent="0.2">
      <c r="A63" s="1" t="s">
        <v>505</v>
      </c>
      <c r="B63" s="1" t="str">
        <f t="shared" si="1"/>
        <v>pptp</v>
      </c>
      <c r="C63" s="1" t="str" cm="1">
        <f t="array" ref="C63">INDEX(_xlfn.TEXTSPLIT(A63, " "), 4)</f>
        <v>pptp</v>
      </c>
    </row>
    <row r="64" spans="1:3" x14ac:dyDescent="0.2">
      <c r="A64" s="1" t="s">
        <v>506</v>
      </c>
      <c r="B64" s="1" t="str">
        <f t="shared" si="1"/>
        <v>radius</v>
      </c>
      <c r="C64" s="1" t="str" cm="1">
        <f t="array" ref="C64">INDEX(_xlfn.TEXTSPLIT(A64, " "), 4)</f>
        <v>radiusLB</v>
      </c>
    </row>
    <row r="65" spans="1:3" x14ac:dyDescent="0.2">
      <c r="A65" s="1" t="s">
        <v>507</v>
      </c>
      <c r="B65" s="1" t="str">
        <f t="shared" si="1"/>
        <v>radius</v>
      </c>
      <c r="C65" s="1" t="str" cm="1">
        <f t="array" ref="C65">INDEX(_xlfn.TEXTSPLIT(A65, " "), 4)</f>
        <v>radiusLB-subscriber-aware</v>
      </c>
    </row>
    <row r="66" spans="1:3" x14ac:dyDescent="0.2">
      <c r="A66" s="1" t="s">
        <v>508</v>
      </c>
      <c r="B66" s="1" t="str">
        <f t="shared" ref="B66:B97" si="2">MID(A66,FIND("ltm profile ",A66)+12,FIND(" ",A66,FIND("ltm profile ",A66)+12)-FIND("ltm profile ",A66)-12)</f>
        <v>request-log</v>
      </c>
      <c r="C66" s="1" t="str" cm="1">
        <f t="array" ref="C66">INDEX(_xlfn.TEXTSPLIT(A66, " "), 4)</f>
        <v>request-log</v>
      </c>
    </row>
    <row r="67" spans="1:3" x14ac:dyDescent="0.2">
      <c r="A67" s="1" t="s">
        <v>509</v>
      </c>
      <c r="B67" s="1" t="str">
        <f t="shared" si="2"/>
        <v>rewrite</v>
      </c>
      <c r="C67" s="1" t="str" cm="1">
        <f t="array" ref="C67">INDEX(_xlfn.TEXTSPLIT(A67, " "), 4)</f>
        <v>rewrite</v>
      </c>
    </row>
    <row r="68" spans="1:3" x14ac:dyDescent="0.2">
      <c r="A68" s="1" t="s">
        <v>510</v>
      </c>
      <c r="B68" s="1" t="str">
        <f t="shared" si="2"/>
        <v>ilx</v>
      </c>
      <c r="C68" s="1" t="str" cm="1">
        <f t="array" ref="C68">INDEX(_xlfn.TEXTSPLIT(A68, " "), 4)</f>
        <v>ilx</v>
      </c>
    </row>
    <row r="69" spans="1:3" x14ac:dyDescent="0.2">
      <c r="A69" s="1" t="s">
        <v>511</v>
      </c>
      <c r="B69" s="1" t="str">
        <f t="shared" si="2"/>
        <v>rewrite</v>
      </c>
      <c r="C69" s="1" t="str" cm="1">
        <f t="array" ref="C69">INDEX(_xlfn.TEXTSPLIT(A69, " "), 4)</f>
        <v>rewrite-portal</v>
      </c>
    </row>
    <row r="70" spans="1:3" x14ac:dyDescent="0.2">
      <c r="A70" s="1" t="s">
        <v>512</v>
      </c>
      <c r="B70" s="1" t="str">
        <f t="shared" si="2"/>
        <v>rewrite</v>
      </c>
      <c r="C70" s="1" t="str" cm="1">
        <f t="array" ref="C70">INDEX(_xlfn.TEXTSPLIT(A70, " "), 4)</f>
        <v>rewrite-uri-translation</v>
      </c>
    </row>
    <row r="71" spans="1:3" x14ac:dyDescent="0.2">
      <c r="A71" s="1" t="s">
        <v>513</v>
      </c>
      <c r="B71" s="1" t="str">
        <f t="shared" si="2"/>
        <v>rtsp</v>
      </c>
      <c r="C71" s="1" t="str" cm="1">
        <f t="array" ref="C71">INDEX(_xlfn.TEXTSPLIT(A71, " "), 4)</f>
        <v>rtsp</v>
      </c>
    </row>
    <row r="72" spans="1:3" x14ac:dyDescent="0.2">
      <c r="A72" s="1" t="s">
        <v>514</v>
      </c>
      <c r="B72" s="1" t="str">
        <f t="shared" si="2"/>
        <v>server-ssl</v>
      </c>
      <c r="C72" s="1" t="str" cm="1">
        <f t="array" ref="C72">INDEX(_xlfn.TEXTSPLIT(A72, " "), 4)</f>
        <v>serverssl</v>
      </c>
    </row>
    <row r="73" spans="1:3" x14ac:dyDescent="0.2">
      <c r="A73" s="1" t="s">
        <v>515</v>
      </c>
      <c r="B73" s="1" t="str">
        <f t="shared" si="2"/>
        <v>server-ssl</v>
      </c>
      <c r="C73" s="1" t="str" cm="1">
        <f t="array" ref="C73">INDEX(_xlfn.TEXTSPLIT(A73, " "), 4)</f>
        <v>serverssl-legacy</v>
      </c>
    </row>
    <row r="74" spans="1:3" x14ac:dyDescent="0.2">
      <c r="A74" s="1" t="s">
        <v>516</v>
      </c>
      <c r="B74" s="1" t="str">
        <f t="shared" si="2"/>
        <v>server-ssl</v>
      </c>
      <c r="C74" s="1" t="str" cm="1">
        <f t="array" ref="C74">INDEX(_xlfn.TEXTSPLIT(A74, " "), 4)</f>
        <v>apm-default-serverssl</v>
      </c>
    </row>
    <row r="75" spans="1:3" x14ac:dyDescent="0.2">
      <c r="A75" s="1" t="s">
        <v>517</v>
      </c>
      <c r="B75" s="1" t="str">
        <f t="shared" si="2"/>
        <v>server-ssl</v>
      </c>
      <c r="C75" s="1" t="str" cm="1">
        <f t="array" ref="C75">INDEX(_xlfn.TEXTSPLIT(A75, " "), 4)</f>
        <v>serverssl-insecure-compatible</v>
      </c>
    </row>
    <row r="76" spans="1:3" x14ac:dyDescent="0.2">
      <c r="A76" s="1" t="s">
        <v>518</v>
      </c>
      <c r="B76" s="1" t="str">
        <f t="shared" si="2"/>
        <v>server-ssl</v>
      </c>
      <c r="C76" s="1" t="str" cm="1">
        <f t="array" ref="C76">INDEX(_xlfn.TEXTSPLIT(A76, " "), 4)</f>
        <v>wom-default-serverssl</v>
      </c>
    </row>
    <row r="77" spans="1:3" x14ac:dyDescent="0.2">
      <c r="A77" s="1" t="s">
        <v>519</v>
      </c>
      <c r="B77" s="1" t="str">
        <f t="shared" si="2"/>
        <v>server-ssl</v>
      </c>
      <c r="C77" s="1" t="str" cm="1">
        <f t="array" ref="C77">INDEX(_xlfn.TEXTSPLIT(A77, " "), 4)</f>
        <v>crypto-client-default-serverssl</v>
      </c>
    </row>
    <row r="78" spans="1:3" x14ac:dyDescent="0.2">
      <c r="A78" s="1" t="s">
        <v>520</v>
      </c>
      <c r="B78" s="1" t="str">
        <f t="shared" si="2"/>
        <v>server-ssl</v>
      </c>
      <c r="C78" s="1" t="str" cm="1">
        <f t="array" ref="C78">INDEX(_xlfn.TEXTSPLIT(A78, " "), 4)</f>
        <v>/Common/serverssl-secure</v>
      </c>
    </row>
    <row r="79" spans="1:3" x14ac:dyDescent="0.2">
      <c r="A79" s="1" t="s">
        <v>521</v>
      </c>
      <c r="B79" s="1" t="str">
        <f t="shared" si="2"/>
        <v>server-ssl</v>
      </c>
      <c r="C79" s="1" t="str" cm="1">
        <f t="array" ref="C79">INDEX(_xlfn.TEXTSPLIT(A79, " "), 4)</f>
        <v>pcoip-default-serverssl</v>
      </c>
    </row>
    <row r="80" spans="1:3" x14ac:dyDescent="0.2">
      <c r="A80" s="1" t="s">
        <v>522</v>
      </c>
      <c r="B80" s="1" t="str">
        <f t="shared" si="2"/>
        <v>sctp</v>
      </c>
      <c r="C80" s="1" t="str" cm="1">
        <f t="array" ref="C80">INDEX(_xlfn.TEXTSPLIT(A80, " "), 4)</f>
        <v>sctp</v>
      </c>
    </row>
    <row r="81" spans="1:3" x14ac:dyDescent="0.2">
      <c r="A81" s="1" t="s">
        <v>523</v>
      </c>
      <c r="B81" s="1" t="str">
        <f t="shared" si="2"/>
        <v>analytics</v>
      </c>
      <c r="C81" s="1" t="str" cm="1">
        <f t="array" ref="C81">INDEX(_xlfn.TEXTSPLIT(A81, " "), 4)</f>
        <v>analytics</v>
      </c>
    </row>
    <row r="82" spans="1:3" x14ac:dyDescent="0.2">
      <c r="A82" s="1" t="s">
        <v>524</v>
      </c>
      <c r="B82" s="1" t="str">
        <f t="shared" si="2"/>
        <v>tcp-analytics</v>
      </c>
      <c r="C82" s="1" t="str" cm="1">
        <f t="array" ref="C82">INDEX(_xlfn.TEXTSPLIT(A82, " "), 4)</f>
        <v>tcp-analytics</v>
      </c>
    </row>
    <row r="83" spans="1:3" x14ac:dyDescent="0.2">
      <c r="A83" s="1" t="s">
        <v>525</v>
      </c>
      <c r="B83" s="1" t="str">
        <f t="shared" si="2"/>
        <v>classification</v>
      </c>
      <c r="C83" s="1" t="str" cm="1">
        <f t="array" ref="C83">INDEX(_xlfn.TEXTSPLIT(A83, " "), 4)</f>
        <v>classification</v>
      </c>
    </row>
    <row r="84" spans="1:3" x14ac:dyDescent="0.2">
      <c r="A84" s="1" t="s">
        <v>526</v>
      </c>
      <c r="B84" s="1" t="str">
        <f t="shared" si="2"/>
        <v>classification</v>
      </c>
      <c r="C84" s="1" t="str" cm="1">
        <f t="array" ref="C84">INDEX(_xlfn.TEXTSPLIT(A84, " "), 4)</f>
        <v>classification_pem</v>
      </c>
    </row>
    <row r="85" spans="1:3" x14ac:dyDescent="0.2">
      <c r="A85" s="1" t="s">
        <v>527</v>
      </c>
      <c r="B85" s="1" t="str">
        <f t="shared" si="2"/>
        <v>classification</v>
      </c>
      <c r="C85" s="1" t="str" cm="1">
        <f t="array" ref="C85">INDEX(_xlfn.TEXTSPLIT(A85, " "), 4)</f>
        <v>classification_apm_swg</v>
      </c>
    </row>
    <row r="86" spans="1:3" x14ac:dyDescent="0.2">
      <c r="A86" s="1" t="s">
        <v>528</v>
      </c>
      <c r="B86" s="1" t="str">
        <f t="shared" si="2"/>
        <v>sip</v>
      </c>
      <c r="C86" s="1" t="str" cm="1">
        <f t="array" ref="C86">INDEX(_xlfn.TEXTSPLIT(A86, " "), 4)</f>
        <v>sip</v>
      </c>
    </row>
    <row r="87" spans="1:3" x14ac:dyDescent="0.2">
      <c r="A87" s="1" t="s">
        <v>529</v>
      </c>
      <c r="B87" s="1" t="str">
        <f t="shared" si="2"/>
        <v>statistics</v>
      </c>
      <c r="C87" s="1" t="str" cm="1">
        <f t="array" ref="C87">INDEX(_xlfn.TEXTSPLIT(A87, " "), 4)</f>
        <v>stats</v>
      </c>
    </row>
    <row r="88" spans="1:3" x14ac:dyDescent="0.2">
      <c r="A88" s="1" t="s">
        <v>530</v>
      </c>
      <c r="B88" s="1" t="str">
        <f t="shared" si="2"/>
        <v>stream</v>
      </c>
      <c r="C88" s="1" t="str" cm="1">
        <f t="array" ref="C88">INDEX(_xlfn.TEXTSPLIT(A88, " "), 4)</f>
        <v>stream</v>
      </c>
    </row>
    <row r="89" spans="1:3" x14ac:dyDescent="0.2">
      <c r="A89" s="1" t="s">
        <v>531</v>
      </c>
      <c r="B89" s="1" t="str">
        <f t="shared" si="2"/>
        <v>pcp</v>
      </c>
      <c r="C89" s="1" t="str" cm="1">
        <f t="array" ref="C89">INDEX(_xlfn.TEXTSPLIT(A89, " "), 4)</f>
        <v>pcp</v>
      </c>
    </row>
    <row r="90" spans="1:3" x14ac:dyDescent="0.2">
      <c r="A90" s="1" t="s">
        <v>532</v>
      </c>
      <c r="B90" s="1" t="str">
        <f t="shared" si="2"/>
        <v>nat-stats</v>
      </c>
      <c r="C90" s="1" t="str" cm="1">
        <f t="array" ref="C90">INDEX(_xlfn.TEXTSPLIT(A90, " "), 4)</f>
        <v>nat-stats</v>
      </c>
    </row>
    <row r="91" spans="1:3" x14ac:dyDescent="0.2">
      <c r="A91" s="1" t="s">
        <v>533</v>
      </c>
      <c r="B91" s="1" t="str">
        <f t="shared" si="2"/>
        <v>tcp</v>
      </c>
      <c r="C91" s="1" t="str" cm="1">
        <f t="array" ref="C91">INDEX(_xlfn.TEXTSPLIT(A91, " "), 4)</f>
        <v>f5-tcp-progressive</v>
      </c>
    </row>
    <row r="92" spans="1:3" x14ac:dyDescent="0.2">
      <c r="A92" s="1" t="s">
        <v>534</v>
      </c>
      <c r="B92" s="1" t="str">
        <f t="shared" si="2"/>
        <v>tcp</v>
      </c>
      <c r="C92" s="1" t="str" cm="1">
        <f t="array" ref="C92">INDEX(_xlfn.TEXTSPLIT(A92, " "), 4)</f>
        <v>f5-tcp-wan</v>
      </c>
    </row>
    <row r="93" spans="1:3" x14ac:dyDescent="0.2">
      <c r="A93" s="1" t="s">
        <v>535</v>
      </c>
      <c r="B93" s="1" t="str">
        <f t="shared" si="2"/>
        <v>tcp</v>
      </c>
      <c r="C93" s="1" t="str" cm="1">
        <f t="array" ref="C93">INDEX(_xlfn.TEXTSPLIT(A93, " "), 4)</f>
        <v>f5-tcp-lan</v>
      </c>
    </row>
    <row r="94" spans="1:3" x14ac:dyDescent="0.2">
      <c r="A94" s="1" t="s">
        <v>536</v>
      </c>
      <c r="B94" s="1" t="str">
        <f t="shared" si="2"/>
        <v>tcp</v>
      </c>
      <c r="C94" s="1" t="str" cm="1">
        <f t="array" ref="C94">INDEX(_xlfn.TEXTSPLIT(A94, " "), 4)</f>
        <v>f5-tcp-mobile</v>
      </c>
    </row>
    <row r="95" spans="1:3" x14ac:dyDescent="0.2">
      <c r="A95" s="1" t="s">
        <v>537</v>
      </c>
      <c r="B95" s="1" t="str">
        <f t="shared" si="2"/>
        <v>tcp</v>
      </c>
      <c r="C95" s="1" t="str" cm="1">
        <f t="array" ref="C95">INDEX(_xlfn.TEXTSPLIT(A95, " "), 4)</f>
        <v>tcp</v>
      </c>
    </row>
    <row r="96" spans="1:3" x14ac:dyDescent="0.2">
      <c r="A96" s="1" t="s">
        <v>538</v>
      </c>
      <c r="B96" s="1" t="str">
        <f t="shared" si="2"/>
        <v>tcp</v>
      </c>
      <c r="C96" s="1" t="str" cm="1">
        <f t="array" ref="C96">INDEX(_xlfn.TEXTSPLIT(A96, " "), 4)</f>
        <v>tcp-legacy</v>
      </c>
    </row>
    <row r="97" spans="1:3" x14ac:dyDescent="0.2">
      <c r="A97" s="1" t="s">
        <v>539</v>
      </c>
      <c r="B97" s="1" t="str">
        <f t="shared" si="2"/>
        <v>tcp</v>
      </c>
      <c r="C97" s="1" t="str" cm="1">
        <f t="array" ref="C97">INDEX(_xlfn.TEXTSPLIT(A97, " "), 4)</f>
        <v>mptcp-mobile-optimized</v>
      </c>
    </row>
    <row r="98" spans="1:3" x14ac:dyDescent="0.2">
      <c r="A98" s="1" t="s">
        <v>540</v>
      </c>
      <c r="B98" s="1" t="str">
        <f t="shared" ref="B98:B129" si="3">MID(A98,FIND("ltm profile ",A98)+12,FIND(" ",A98,FIND("ltm profile ",A98)+12)-FIND("ltm profile ",A98)-12)</f>
        <v>tcp</v>
      </c>
      <c r="C98" s="1" t="str" cm="1">
        <f t="array" ref="C98">INDEX(_xlfn.TEXTSPLIT(A98, " "), 4)</f>
        <v>tcp-mobile-optimized</v>
      </c>
    </row>
    <row r="99" spans="1:3" x14ac:dyDescent="0.2">
      <c r="A99" s="1" t="s">
        <v>541</v>
      </c>
      <c r="B99" s="1" t="str">
        <f t="shared" si="3"/>
        <v>tcp</v>
      </c>
      <c r="C99" s="1" t="str" cm="1">
        <f t="array" ref="C99">INDEX(_xlfn.TEXTSPLIT(A99, " "), 4)</f>
        <v>tcp-lan-optimized</v>
      </c>
    </row>
    <row r="100" spans="1:3" x14ac:dyDescent="0.2">
      <c r="A100" s="1" t="s">
        <v>542</v>
      </c>
      <c r="B100" s="1" t="str">
        <f t="shared" si="3"/>
        <v>tcp</v>
      </c>
      <c r="C100" s="1" t="str" cm="1">
        <f t="array" ref="C100">INDEX(_xlfn.TEXTSPLIT(A100, " "), 4)</f>
        <v>tcp-wan-optimized</v>
      </c>
    </row>
    <row r="101" spans="1:3" x14ac:dyDescent="0.2">
      <c r="A101" s="1" t="s">
        <v>543</v>
      </c>
      <c r="B101" s="1" t="str">
        <f t="shared" si="3"/>
        <v>tcp</v>
      </c>
      <c r="C101" s="1" t="str" cm="1">
        <f t="array" ref="C101">INDEX(_xlfn.TEXTSPLIT(A101, " "), 4)</f>
        <v>wom-tcp-lan-optimized</v>
      </c>
    </row>
    <row r="102" spans="1:3" x14ac:dyDescent="0.2">
      <c r="A102" s="1" t="s">
        <v>544</v>
      </c>
      <c r="B102" s="1" t="str">
        <f t="shared" si="3"/>
        <v>tcp</v>
      </c>
      <c r="C102" s="1" t="str" cm="1">
        <f t="array" ref="C102">INDEX(_xlfn.TEXTSPLIT(A102, " "), 4)</f>
        <v>wom-tcp-wan-optimized</v>
      </c>
    </row>
    <row r="103" spans="1:3" x14ac:dyDescent="0.2">
      <c r="A103" s="1" t="s">
        <v>545</v>
      </c>
      <c r="B103" s="1" t="str">
        <f t="shared" si="3"/>
        <v>tcp</v>
      </c>
      <c r="C103" s="1" t="str" cm="1">
        <f t="array" ref="C103">INDEX(_xlfn.TEXTSPLIT(A103, " "), 4)</f>
        <v>splitsession-default-tcp</v>
      </c>
    </row>
    <row r="104" spans="1:3" x14ac:dyDescent="0.2">
      <c r="A104" s="1" t="s">
        <v>546</v>
      </c>
      <c r="B104" s="1" t="str">
        <f t="shared" si="3"/>
        <v>tcp</v>
      </c>
      <c r="C104" s="1" t="str" cm="1">
        <f t="array" ref="C104">INDEX(_xlfn.TEXTSPLIT(A104, " "), 4)</f>
        <v>s3-tcp</v>
      </c>
    </row>
    <row r="105" spans="1:3" x14ac:dyDescent="0.2">
      <c r="A105" s="1" t="s">
        <v>547</v>
      </c>
      <c r="B105" s="1" t="str">
        <f t="shared" si="3"/>
        <v>dhcpv4</v>
      </c>
      <c r="C105" s="1" t="str" cm="1">
        <f t="array" ref="C105">INDEX(_xlfn.TEXTSPLIT(A105, " "), 4)</f>
        <v>dhcpv4</v>
      </c>
    </row>
    <row r="106" spans="1:3" x14ac:dyDescent="0.2">
      <c r="A106" s="1" t="s">
        <v>548</v>
      </c>
      <c r="B106" s="1" t="str">
        <f t="shared" si="3"/>
        <v>dhcpv4</v>
      </c>
      <c r="C106" s="1" t="str" cm="1">
        <f t="array" ref="C106">INDEX(_xlfn.TEXTSPLIT(A106, " "), 4)</f>
        <v>dhcpv4_fwd</v>
      </c>
    </row>
    <row r="107" spans="1:3" x14ac:dyDescent="0.2">
      <c r="A107" s="1" t="s">
        <v>549</v>
      </c>
      <c r="B107" s="1" t="str">
        <f t="shared" si="3"/>
        <v>dhcpv6</v>
      </c>
      <c r="C107" s="1" t="str" cm="1">
        <f t="array" ref="C107">INDEX(_xlfn.TEXTSPLIT(A107, " "), 4)</f>
        <v>dhcpv6</v>
      </c>
    </row>
    <row r="108" spans="1:3" x14ac:dyDescent="0.2">
      <c r="A108" s="1" t="s">
        <v>550</v>
      </c>
      <c r="B108" s="1" t="str">
        <f t="shared" si="3"/>
        <v>dhcpv6</v>
      </c>
      <c r="C108" s="1" t="str" cm="1">
        <f t="array" ref="C108">INDEX(_xlfn.TEXTSPLIT(A108, " "), 4)</f>
        <v>dhcpv6_fwd</v>
      </c>
    </row>
    <row r="109" spans="1:3" x14ac:dyDescent="0.2">
      <c r="A109" s="1" t="s">
        <v>551</v>
      </c>
      <c r="B109" s="1" t="str">
        <f t="shared" si="3"/>
        <v>udp</v>
      </c>
      <c r="C109" s="1" t="str" cm="1">
        <f t="array" ref="C109">INDEX(_xlfn.TEXTSPLIT(A109, " "), 4)</f>
        <v>udp</v>
      </c>
    </row>
    <row r="110" spans="1:3" x14ac:dyDescent="0.2">
      <c r="A110" s="1" t="s">
        <v>552</v>
      </c>
      <c r="B110" s="1" t="str">
        <f t="shared" si="3"/>
        <v>udp</v>
      </c>
      <c r="C110" s="1" t="str" cm="1">
        <f t="array" ref="C110">INDEX(_xlfn.TEXTSPLIT(A110, " "), 4)</f>
        <v>udp_preserve_ttl</v>
      </c>
    </row>
    <row r="111" spans="1:3" x14ac:dyDescent="0.2">
      <c r="A111" s="1" t="s">
        <v>553</v>
      </c>
      <c r="B111" s="1" t="str">
        <f t="shared" si="3"/>
        <v>udp</v>
      </c>
      <c r="C111" s="1" t="str" cm="1">
        <f t="array" ref="C111">INDEX(_xlfn.TEXTSPLIT(A111, " "), 4)</f>
        <v>udp_decrement_ttl</v>
      </c>
    </row>
    <row r="112" spans="1:3" x14ac:dyDescent="0.2">
      <c r="A112" s="1" t="s">
        <v>554</v>
      </c>
      <c r="B112" s="1" t="str">
        <f t="shared" si="3"/>
        <v>udp</v>
      </c>
      <c r="C112" s="1" t="str" cm="1">
        <f t="array" ref="C112">INDEX(_xlfn.TEXTSPLIT(A112, " "), 4)</f>
        <v>udp_gtm_dns</v>
      </c>
    </row>
    <row r="113" spans="1:3" x14ac:dyDescent="0.2">
      <c r="A113" s="1" t="s">
        <v>555</v>
      </c>
      <c r="B113" s="1" t="str">
        <f t="shared" si="3"/>
        <v>ipother</v>
      </c>
      <c r="C113" s="1" t="str" cm="1">
        <f t="array" ref="C113">INDEX(_xlfn.TEXTSPLIT(A113, " "), 4)</f>
        <v>ipother</v>
      </c>
    </row>
    <row r="114" spans="1:3" x14ac:dyDescent="0.2">
      <c r="A114" s="1" t="s">
        <v>556</v>
      </c>
      <c r="B114" s="1" t="str">
        <f t="shared" si="3"/>
        <v>map-t</v>
      </c>
      <c r="C114" s="1" t="str" cm="1">
        <f t="array" ref="C114">INDEX(_xlfn.TEXTSPLIT(A114, " "), 4)</f>
        <v>mapt</v>
      </c>
    </row>
    <row r="115" spans="1:3" x14ac:dyDescent="0.2">
      <c r="A115" s="1" t="s">
        <v>557</v>
      </c>
      <c r="B115" s="1" t="str">
        <f t="shared" si="3"/>
        <v>socks</v>
      </c>
      <c r="C115" s="1" t="str" cm="1">
        <f t="array" ref="C115">INDEX(_xlfn.TEXTSPLIT(A115, " "), 4)</f>
        <v>socks</v>
      </c>
    </row>
    <row r="116" spans="1:3" x14ac:dyDescent="0.2">
      <c r="A116" s="1" t="s">
        <v>558</v>
      </c>
      <c r="B116" s="1" t="str">
        <f t="shared" si="3"/>
        <v>web-acceleration</v>
      </c>
      <c r="C116" s="1" t="str" cm="1">
        <f t="array" ref="C116">INDEX(_xlfn.TEXTSPLIT(A116, " "), 4)</f>
        <v>optimized-acceleration</v>
      </c>
    </row>
    <row r="117" spans="1:3" x14ac:dyDescent="0.2">
      <c r="A117" s="1" t="s">
        <v>559</v>
      </c>
      <c r="B117" s="1" t="str">
        <f t="shared" si="3"/>
        <v>web-acceleration</v>
      </c>
      <c r="C117" s="1" t="str" cm="1">
        <f t="array" ref="C117">INDEX(_xlfn.TEXTSPLIT(A117, " "), 4)</f>
        <v>optimized-caching</v>
      </c>
    </row>
    <row r="118" spans="1:3" x14ac:dyDescent="0.2">
      <c r="A118" s="1" t="s">
        <v>560</v>
      </c>
      <c r="B118" s="1" t="str">
        <f t="shared" si="3"/>
        <v>web-acceleration</v>
      </c>
      <c r="C118" s="1" t="str" cm="1">
        <f t="array" ref="C118">INDEX(_xlfn.TEXTSPLIT(A118, " "), 4)</f>
        <v>webacceleration</v>
      </c>
    </row>
    <row r="119" spans="1:3" x14ac:dyDescent="0.2">
      <c r="A119" s="1" t="s">
        <v>561</v>
      </c>
      <c r="B119" s="1" t="str">
        <f t="shared" si="3"/>
        <v>web-security</v>
      </c>
      <c r="C119" s="1" t="str" cm="1">
        <f t="array" ref="C119">INDEX(_xlfn.TEXTSPLIT(A119, " "), 4)</f>
        <v>websecurity</v>
      </c>
    </row>
    <row r="120" spans="1:3" x14ac:dyDescent="0.2">
      <c r="A120" s="1" t="s">
        <v>562</v>
      </c>
      <c r="B120" s="1" t="str">
        <f t="shared" si="3"/>
        <v>xml</v>
      </c>
      <c r="C120" s="1" t="str" cm="1">
        <f t="array" ref="C120">INDEX(_xlfn.TEXTSPLIT(A120, " "), 4)</f>
        <v>xml</v>
      </c>
    </row>
    <row r="121" spans="1:3" x14ac:dyDescent="0.2">
      <c r="A121" s="1" t="s">
        <v>563</v>
      </c>
      <c r="B121" s="1" t="str">
        <f t="shared" si="3"/>
        <v>web-acceleration</v>
      </c>
      <c r="C121" s="1" t="str" cm="1">
        <f t="array" ref="C121">INDEX(_xlfn.TEXTSPLIT(A121, " "), 4)</f>
        <v>apm-enduser-if-cache</v>
      </c>
    </row>
    <row r="122" spans="1:3" x14ac:dyDescent="0.2">
      <c r="A122" s="1" t="s">
        <v>564</v>
      </c>
      <c r="B122" s="1" t="str">
        <f t="shared" si="3"/>
        <v>tcp</v>
      </c>
      <c r="C122" s="1" t="str" cm="1">
        <f t="array" ref="C122">INDEX(_xlfn.TEXTSPLIT(A122, " "), 4)</f>
        <v>apm-forwarding-client-tcp</v>
      </c>
    </row>
    <row r="123" spans="1:3" x14ac:dyDescent="0.2">
      <c r="A123" s="1" t="s">
        <v>565</v>
      </c>
      <c r="B123" s="1" t="str">
        <f t="shared" si="3"/>
        <v>tcp</v>
      </c>
      <c r="C123" s="1" t="str" cm="1">
        <f t="array" ref="C123">INDEX(_xlfn.TEXTSPLIT(A123, " "), 4)</f>
        <v>apm-forwarding-server-tcp</v>
      </c>
    </row>
    <row r="124" spans="1:3" x14ac:dyDescent="0.2">
      <c r="A124" s="1" t="s">
        <v>566</v>
      </c>
      <c r="B124" s="1" t="str">
        <f t="shared" si="3"/>
        <v>fastl4</v>
      </c>
      <c r="C124" s="1" t="str" cm="1">
        <f t="array" ref="C124">INDEX(_xlfn.TEXTSPLIT(A124, " "), 4)</f>
        <v>apm-forwarding-fastL4</v>
      </c>
    </row>
    <row r="125" spans="1:3" x14ac:dyDescent="0.2">
      <c r="A125" s="1" t="s">
        <v>567</v>
      </c>
      <c r="B125" s="1" t="str">
        <f t="shared" si="3"/>
        <v>service</v>
      </c>
      <c r="C125" s="1" t="str" cm="1">
        <f t="array" ref="C125">INDEX(_xlfn.TEXTSPLIT(A125, " "), 4)</f>
        <v>/Common/access-logonpage-protection-service</v>
      </c>
    </row>
    <row r="126" spans="1:3" x14ac:dyDescent="0.2">
      <c r="A126" s="1" t="s">
        <v>568</v>
      </c>
      <c r="B126" s="1" t="str">
        <f t="shared" si="3"/>
        <v>connector</v>
      </c>
      <c r="C126" s="1" t="str" cm="1">
        <f t="array" ref="C126">INDEX(_xlfn.TEXTSPLIT(A126, " "), 4)</f>
        <v>/Common/access-logonpage-protection-connector</v>
      </c>
    </row>
    <row r="127" spans="1:3" x14ac:dyDescent="0.2">
      <c r="A127" s="1" t="s">
        <v>569</v>
      </c>
      <c r="B127" s="1" t="str">
        <f t="shared" si="3"/>
        <v>tdr</v>
      </c>
      <c r="C127" s="1" t="str" cm="1">
        <f t="array" ref="C127">INDEX(_xlfn.TEXTSPLIT(A127, " "), 4)</f>
        <v>tdr</v>
      </c>
    </row>
    <row r="128" spans="1:3" x14ac:dyDescent="0.2">
      <c r="A128" s="1" t="s">
        <v>570</v>
      </c>
      <c r="B128" s="1" t="str">
        <f t="shared" si="3"/>
        <v>tdr</v>
      </c>
      <c r="C128" s="1" t="str" cm="1">
        <f t="array" ref="C128">INDEX(_xlfn.TEXTSPLIT(A128, " "), 4)</f>
        <v>tdr-diameter</v>
      </c>
    </row>
    <row r="129" spans="1:3" x14ac:dyDescent="0.2">
      <c r="A129" s="1" t="s">
        <v>571</v>
      </c>
      <c r="B129" s="1" t="str">
        <f t="shared" si="3"/>
        <v>tdr</v>
      </c>
      <c r="C129" s="1" t="str" cm="1">
        <f t="array" ref="C129">INDEX(_xlfn.TEXTSPLIT(A129, " "), 4)</f>
        <v>tdr-http</v>
      </c>
    </row>
    <row r="130" spans="1:3" x14ac:dyDescent="0.2">
      <c r="A130" s="1" t="s">
        <v>572</v>
      </c>
      <c r="B130" s="1" t="str">
        <f t="shared" ref="B130:B132" si="4">MID(A130,FIND("ltm profile ",A130)+12,FIND(" ",A130,FIND("ltm profile ",A130)+12)-FIND("ltm profile ",A130)-12)</f>
        <v>tdr</v>
      </c>
      <c r="C130" s="1" t="str" cm="1">
        <f t="array" ref="C130">INDEX(_xlfn.TEXTSPLIT(A130, " "), 4)</f>
        <v>tdr-sip</v>
      </c>
    </row>
    <row r="131" spans="1:3" x14ac:dyDescent="0.2">
      <c r="A131" s="1" t="s">
        <v>573</v>
      </c>
      <c r="B131" s="1" t="str">
        <f t="shared" si="4"/>
        <v>sse</v>
      </c>
      <c r="C131" s="1" t="str" cm="1">
        <f t="array" ref="C131">INDEX(_xlfn.TEXTSPLIT(A131, " "), 4)</f>
        <v>sse</v>
      </c>
    </row>
    <row r="132" spans="1:3" x14ac:dyDescent="0.2">
      <c r="A132" s="1" t="s">
        <v>574</v>
      </c>
      <c r="B132" s="1" t="str">
        <f t="shared" si="4"/>
        <v>json</v>
      </c>
      <c r="C132" s="1" t="str" cm="1">
        <f t="array" ref="C132">INDEX(_xlfn.TEXTSPLIT(A132, " "), 4)</f>
        <v>json</v>
      </c>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AD438-6CC0-4D73-9F54-8FA41B200DC2}">
  <sheetPr codeName="Sheet1"/>
  <dimension ref="A1:C2"/>
  <sheetViews>
    <sheetView showGridLines="0" workbookViewId="0">
      <pane ySplit="1" topLeftCell="A2" activePane="bottomLeft" state="frozen"/>
      <selection pane="bottomLeft"/>
    </sheetView>
  </sheetViews>
  <sheetFormatPr defaultColWidth="9.21875" defaultRowHeight="10.199999999999999" x14ac:dyDescent="0.2"/>
  <cols>
    <col min="1" max="1" width="42.21875" style="1" bestFit="1" customWidth="1"/>
    <col min="2" max="2" width="56.44140625" style="1" bestFit="1" customWidth="1"/>
    <col min="3" max="3" width="9.44140625" style="1" bestFit="1" customWidth="1"/>
    <col min="4" max="16384" width="9.21875" style="1"/>
  </cols>
  <sheetData>
    <row r="1" spans="1:3" x14ac:dyDescent="0.2">
      <c r="A1" s="2" t="s">
        <v>0</v>
      </c>
      <c r="B1" s="2" t="s">
        <v>23</v>
      </c>
      <c r="C1" s="2" t="s">
        <v>30</v>
      </c>
    </row>
    <row r="2" spans="1:3" x14ac:dyDescent="0.2">
      <c r="B2" s="1" t="e" cm="1">
        <f t="array" ref="B2">_xlfn.IFS(C2="client-ssl",MID(A2,FIND("/",A2),FIND(" ",A2,FIND("/",A2))-FIND("/",A2))&amp;" { context clientside }",C2="server-ssl",MID(A2,FIND("/",A2),FIND(" ",A2,FIND("/",A2))-FIND("/",A2))&amp;" { context serverside }",TRUE,MID(A2,FIND("/",A2),FIND(" ",A2,FIND("/",A2))-FIND("/",A2)))</f>
        <v>#VALUE!</v>
      </c>
      <c r="C2" s="1" t="e">
        <f t="shared" ref="C2" si="0">MID(MID(A2,FIND("profile ",A2)+8,100),1,FIND(" ",MID(A2,FIND("profile ",A2)+8,100))-1)</f>
        <v>#VALUE!</v>
      </c>
    </row>
  </sheetData>
  <pageMargins left="0.7" right="0.7" top="0.75" bottom="0.75" header="0.3" footer="0.3"/>
  <pageSetup paperSize="9" orientation="portrait"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05C3-3C79-4F48-8D8A-12D730A89FFA}">
  <sheetPr codeName="Sheet7"/>
  <dimension ref="A1:F2"/>
  <sheetViews>
    <sheetView showGridLines="0" zoomScaleNormal="100" workbookViewId="0"/>
  </sheetViews>
  <sheetFormatPr defaultColWidth="8.77734375" defaultRowHeight="10.199999999999999" x14ac:dyDescent="0.2"/>
  <cols>
    <col min="1" max="1" width="21.21875" style="1" bestFit="1" customWidth="1"/>
    <col min="2" max="2" width="9" style="1" customWidth="1"/>
    <col min="3" max="3" width="31.77734375" style="1" bestFit="1" customWidth="1"/>
    <col min="4" max="4" width="7.44140625" style="1" customWidth="1"/>
    <col min="5" max="5" width="50.21875" style="1" bestFit="1" customWidth="1"/>
    <col min="6" max="6" width="12.21875" style="1" customWidth="1"/>
    <col min="7" max="16384" width="8.77734375" style="1"/>
  </cols>
  <sheetData>
    <row r="1" spans="1:6" ht="10.8" thickBot="1" x14ac:dyDescent="0.25">
      <c r="A1" s="6" t="s">
        <v>0</v>
      </c>
      <c r="B1" s="7" t="s">
        <v>24</v>
      </c>
      <c r="C1" s="1" t="s">
        <v>54</v>
      </c>
      <c r="D1" s="1" t="s">
        <v>15</v>
      </c>
      <c r="E1" s="1" t="s">
        <v>55</v>
      </c>
      <c r="F1" s="1" t="s">
        <v>56</v>
      </c>
    </row>
    <row r="2" spans="1:6" ht="10.8" thickTop="1" x14ac:dyDescent="0.2">
      <c r="B2" s="1" t="e">
        <f>MID(MID(A2,FIND("/",A2),100),1,FIND("/",MID(A2,FIND("/",A2),100),2))</f>
        <v>#VALUE!</v>
      </c>
      <c r="C2" s="1" t="e">
        <f>MID(A2,FIND("/",A2),FIND(" ",A2,FIND("/",A2))-FIND("/",A2))</f>
        <v>#VALUE!</v>
      </c>
      <c r="D2" s="1" t="e">
        <f>MID(A2,FIND("monitor ",A2)+8,FIND(" ",A2,FIND("monitor ",A2)+8)-FIND("monitor ",A2)-8)</f>
        <v>#VALUE!</v>
      </c>
      <c r="E2" s="1" t="e">
        <f t="shared" ref="E2" si="0">IF(OR(D2="http",D2="https"),MID(MID(A2,FIND(" send ",A2)+7,1000),1,FIND("""",MID(A2,FIND(" send ",A2)+7,1000))-1),"")</f>
        <v>#VALUE!</v>
      </c>
      <c r="F2" s="1" t="e">
        <f t="shared" ref="F2" si="1">IF(OR(D2="http",D2="https"),MID(SUBSTITUTE(SUBSTITUTE(A2," recv ","@")," recv-disable ","#"),FIND("@",SUBSTITUTE(SUBSTITUTE(A2," recv ","@")," recv-disable ","#") )+1,FIND("#",SUBSTITUTE(SUBSTITUTE(A2," recv ","@")," recv-disable ","#") )-FIND("@",SUBSTITUTE(SUBSTITUTE(A2," recv ","@")," recv-disable ","#") )-1),"")</f>
        <v>#VALUE!</v>
      </c>
    </row>
  </sheetData>
  <pageMargins left="0.7" right="0.7" top="0.75" bottom="0.75" header="0.3" footer="0.3"/>
  <pageSetup paperSize="9" orientation="portrait" horizontalDpi="4294967293" verticalDpi="0"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593F7-C867-4529-B8BC-41AFAB30B0F3}">
  <dimension ref="A1:D2"/>
  <sheetViews>
    <sheetView showGridLines="0" workbookViewId="0">
      <pane ySplit="1" topLeftCell="A2" activePane="bottomLeft" state="frozen"/>
      <selection pane="bottomLeft" activeCell="A2" sqref="A2"/>
    </sheetView>
  </sheetViews>
  <sheetFormatPr defaultColWidth="9.21875" defaultRowHeight="10.199999999999999" x14ac:dyDescent="0.2"/>
  <cols>
    <col min="1" max="1" width="49.77734375" style="1" customWidth="1"/>
    <col min="2" max="2" width="22.21875" style="1" customWidth="1"/>
    <col min="3" max="3" width="26.5546875" style="1" bestFit="1" customWidth="1"/>
    <col min="4" max="4" width="19.44140625" style="1" bestFit="1" customWidth="1"/>
    <col min="5" max="16384" width="9.21875" style="1"/>
  </cols>
  <sheetData>
    <row r="1" spans="1:4" x14ac:dyDescent="0.2">
      <c r="A1" s="2" t="s">
        <v>0</v>
      </c>
      <c r="B1" s="3" t="s">
        <v>57</v>
      </c>
      <c r="C1" s="2" t="s">
        <v>104</v>
      </c>
      <c r="D1" s="2" t="s">
        <v>105</v>
      </c>
    </row>
    <row r="2" spans="1:4" x14ac:dyDescent="0.2">
      <c r="B2" s="1" t="e">
        <f t="shared" ref="B2" si="0">LEFT(A2,LEN(A2)-1)&amp;" }"</f>
        <v>#VALUE!</v>
      </c>
      <c r="C2" s="1" t="e">
        <f t="shared" ref="C2" si="1">MID(A2,FIND("node /",A2)+5,FIND(" ",A2,FIND("node /",A2)+5)-FIND("node /",A2)-5)</f>
        <v>#VALUE!</v>
      </c>
      <c r="D2" s="1" t="e">
        <f t="shared" ref="D2" si="2">MID(B2,FIND("address ",B2)+8,FIND(" ",B2,FIND("address ",B2)+8)-FIND("address ",B2)-8)</f>
        <v>#VALUE!</v>
      </c>
    </row>
  </sheetData>
  <pageMargins left="0.7" right="0.7" top="0.75" bottom="0.75" header="0.3" footer="0.3"/>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B349E-C7D2-4050-BFBA-DB452E1ACC49}">
  <sheetPr codeName="Sheet8"/>
  <dimension ref="A1:R2"/>
  <sheetViews>
    <sheetView showGridLines="0" workbookViewId="0">
      <pane ySplit="1" topLeftCell="A2" activePane="bottomLeft" state="frozen"/>
      <selection pane="bottomLeft" activeCell="A2" sqref="A2"/>
    </sheetView>
  </sheetViews>
  <sheetFormatPr defaultColWidth="9.21875" defaultRowHeight="10.199999999999999" x14ac:dyDescent="0.2"/>
  <cols>
    <col min="1" max="2" width="22.21875" style="1" customWidth="1"/>
    <col min="3" max="3" width="26.5546875" style="1" bestFit="1" customWidth="1"/>
    <col min="4" max="4" width="19.5546875" style="1" bestFit="1" customWidth="1"/>
    <col min="5" max="5" width="19.44140625" style="1" bestFit="1" customWidth="1"/>
    <col min="6" max="6" width="19.44140625" style="1" customWidth="1"/>
    <col min="7" max="7" width="84.77734375" style="1" customWidth="1"/>
    <col min="8" max="8" width="17.77734375" style="1" customWidth="1"/>
    <col min="9" max="9" width="19.77734375" style="1" customWidth="1"/>
    <col min="10" max="11" width="19.77734375" style="1" bestFit="1" customWidth="1"/>
    <col min="12" max="12" width="19" style="1" bestFit="1" customWidth="1"/>
    <col min="13" max="18" width="19" style="1" customWidth="1"/>
    <col min="19" max="16384" width="9.21875" style="1"/>
  </cols>
  <sheetData>
    <row r="1" spans="1:18" x14ac:dyDescent="0.2">
      <c r="A1" s="2" t="s">
        <v>0</v>
      </c>
      <c r="B1" s="3" t="s">
        <v>57</v>
      </c>
      <c r="C1" s="2" t="s">
        <v>36</v>
      </c>
      <c r="D1" s="2" t="s">
        <v>37</v>
      </c>
      <c r="E1" s="2" t="s">
        <v>38</v>
      </c>
      <c r="F1" s="2" t="s">
        <v>85</v>
      </c>
      <c r="G1" s="2" t="s">
        <v>39</v>
      </c>
      <c r="H1" s="2" t="s">
        <v>40</v>
      </c>
      <c r="I1" s="2" t="s">
        <v>41</v>
      </c>
      <c r="J1" s="2" t="s">
        <v>42</v>
      </c>
      <c r="K1" s="2" t="s">
        <v>43</v>
      </c>
      <c r="L1" s="2" t="s">
        <v>44</v>
      </c>
      <c r="M1" s="2" t="s">
        <v>45</v>
      </c>
      <c r="N1" s="2" t="s">
        <v>58</v>
      </c>
      <c r="O1" s="2" t="s">
        <v>59</v>
      </c>
      <c r="P1" s="2" t="s">
        <v>60</v>
      </c>
      <c r="Q1" s="2" t="s">
        <v>61</v>
      </c>
      <c r="R1" s="2" t="s">
        <v>62</v>
      </c>
    </row>
    <row r="2" spans="1:18" x14ac:dyDescent="0.2">
      <c r="B2" s="1" t="e">
        <f t="shared" ref="B2" si="0">LEFT(A2,LEN(A2)-1)&amp;" }"</f>
        <v>#VALUE!</v>
      </c>
      <c r="C2" s="1" t="e">
        <f t="shared" ref="C2" si="1">MID(A2,FIND("pool /",A2)+5,FIND(" ",A2,FIND("pool /",A2)+5)-FIND("pool /",A2)-5)</f>
        <v>#VALUE!</v>
      </c>
      <c r="D2" s="1" t="str">
        <f>IFERROR(MID(A2,FIND("load-balancing-mode ",A2)+20,FIND(" ",A2,FIND("load-balancing-mode ",A2)+20)-FIND("load-balancing-mode ",A2)-20),"round-robin")</f>
        <v>round-robin</v>
      </c>
      <c r="E2" s="1" t="e">
        <f>IF(MID(B2,FIND("monitor ",B2)+8,FIND(" ",B2,FIND("monitor ",B2)+8)-FIND("monitor ",B2)-8)="min",MID(A2,FIND("monitor ",A2)+8,FIND(" }",A2,FIND("monitor ",A2)+8)-FIND("monitor ",A2)-6),MID(B2,FIND("monitor ",B2)+8,FIND(" ",B2,FIND("monitor ",B2)+8)-FIND("monitor ",B2)-8))</f>
        <v>#VALUE!</v>
      </c>
      <c r="F2" s="1" t="e">
        <f t="shared" ref="F2" si="2">FIND("monitor min",A2)</f>
        <v>#VALUE!</v>
      </c>
      <c r="G2" s="1" t="e">
        <f>MID(A2,FIND("members ",A2)+10,FIND("} }",A2,FIND("members ",A2)+10)-FIND("members ",A2)-8)</f>
        <v>#VALUE!</v>
      </c>
      <c r="H2" s="1" t="e">
        <f>(LEN(G2)-LEN(SUBSTITUTE(G2,":","")))</f>
        <v>#VALUE!</v>
      </c>
      <c r="I2" s="1" t="str">
        <f t="shared" ref="I2" si="3">IFERROR(MID(SUBSTITUTE($G2,"/","@/",I$1),FIND("@/",SUBSTITUTE($G2,"/","@/",I$1))+1,FIND("}",SUBSTITUTE($G2,"/","@/",I$1),FIND("@/",SUBSTITUTE($G2,"/","@/",I$1)))-FIND("@/",SUBSTITUTE($G2,"/","@/",I$1))),"")</f>
        <v/>
      </c>
      <c r="J2" s="1" t="str">
        <f t="shared" ref="J2" si="4">IFERROR(MID(SUBSTITUTE($G2,"/","@/",J$1),FIND("@/",SUBSTITUTE($G2,"/","@/",J$1))+1,FIND("}",SUBSTITUTE($G2,"/","@/",J$1),FIND("@/",SUBSTITUTE($G2,"/","@/",J$1)))-FIND("@/",SUBSTITUTE($G2,"/","@/",J$1))),"")</f>
        <v/>
      </c>
      <c r="K2" s="1" t="str">
        <f t="shared" ref="K2" si="5">IFERROR(MID(SUBSTITUTE($G2,"/","@/",K$1),FIND("@/",SUBSTITUTE($G2,"/","@/",K$1))+1,FIND("}",SUBSTITUTE($G2,"/","@/",K$1),FIND("@/",SUBSTITUTE($G2,"/","@/",K$1)))-FIND("@/",SUBSTITUTE($G2,"/","@/",K$1))),"")</f>
        <v/>
      </c>
      <c r="L2" s="1" t="str">
        <f t="shared" ref="L2" si="6">IFERROR(MID(SUBSTITUTE($G2,"/","@/",L$1),FIND("@/",SUBSTITUTE($G2,"/","@/",L$1))+1,FIND("}",SUBSTITUTE($G2,"/","@/",L$1),FIND("@/",SUBSTITUTE($G2,"/","@/",L$1)))-FIND("@/",SUBSTITUTE($G2,"/","@/",L$1))),"")</f>
        <v/>
      </c>
      <c r="M2" s="1" t="str">
        <f t="shared" ref="M2" si="7">IFERROR(MID(SUBSTITUTE($G2,"/","@/",M$1),FIND("@/",SUBSTITUTE($G2,"/","@/",M$1))+1,FIND("}",SUBSTITUTE($G2,"/","@/",M$1),FIND("@/",SUBSTITUTE($G2,"/","@/",M$1)))-FIND("@/",SUBSTITUTE($G2,"/","@/",M$1))),"")</f>
        <v/>
      </c>
      <c r="N2" s="1" t="str">
        <f t="shared" ref="N2" si="8">IFERROR(MID(SUBSTITUTE($G2,"/","@/",N$1),FIND("@/",SUBSTITUTE($G2,"/","@/",N$1))+1,FIND("}",SUBSTITUTE($G2,"/","@/",N$1),FIND("@/",SUBSTITUTE($G2,"/","@/",N$1)))-FIND("@/",SUBSTITUTE($G2,"/","@/",N$1))),"")</f>
        <v/>
      </c>
      <c r="O2" s="1" t="str">
        <f t="shared" ref="O2" si="9">IFERROR(MID(SUBSTITUTE($G2,"/","@/",O$1),FIND("@/",SUBSTITUTE($G2,"/","@/",O$1))+1,FIND("}",SUBSTITUTE($G2,"/","@/",O$1),FIND("@/",SUBSTITUTE($G2,"/","@/",O$1)))-FIND("@/",SUBSTITUTE($G2,"/","@/",O$1))),"")</f>
        <v/>
      </c>
      <c r="P2" s="1" t="str">
        <f t="shared" ref="P2" si="10">IFERROR(MID(SUBSTITUTE($G2,"/","@/",P$1),FIND("@/",SUBSTITUTE($G2,"/","@/",P$1))+1,FIND("}",SUBSTITUTE($G2,"/","@/",P$1),FIND("@/",SUBSTITUTE($G2,"/","@/",P$1)))-FIND("@/",SUBSTITUTE($G2,"/","@/",P$1))),"")</f>
        <v/>
      </c>
      <c r="Q2" s="1" t="str">
        <f t="shared" ref="Q2" si="11">IFERROR(MID(SUBSTITUTE($G2,"/","@/",Q$1),FIND("@/",SUBSTITUTE($G2,"/","@/",Q$1))+1,FIND("}",SUBSTITUTE($G2,"/","@/",Q$1),FIND("@/",SUBSTITUTE($G2,"/","@/",Q$1)))-FIND("@/",SUBSTITUTE($G2,"/","@/",Q$1))),"")</f>
        <v/>
      </c>
      <c r="R2" s="1" t="str">
        <f t="shared" ref="R2" si="12">IFERROR(MID(SUBSTITUTE($G2,"/","@/",R$1),FIND("@/",SUBSTITUTE($G2,"/","@/",R$1))+1,FIND("}",SUBSTITUTE($G2,"/","@/",R$1),FIND("@/",SUBSTITUTE($G2,"/","@/",R$1)))-FIND("@/",SUBSTITUTE($G2,"/","@/",R$1))),"")</f>
        <v/>
      </c>
    </row>
  </sheetData>
  <pageMargins left="0.7" right="0.7" top="0.75" bottom="0.75" header="0.3" footer="0.3"/>
  <pageSetup paperSize="9"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B2CD-F865-46E8-B97D-0FA7046B35E2}">
  <sheetPr codeName="Sheet10"/>
  <dimension ref="A1:B2"/>
  <sheetViews>
    <sheetView showGridLines="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56.44140625" style="1" bestFit="1" customWidth="1"/>
    <col min="3" max="16384" width="9.21875" style="1"/>
  </cols>
  <sheetData>
    <row r="1" spans="1:2" x14ac:dyDescent="0.2">
      <c r="A1" s="2" t="s">
        <v>0</v>
      </c>
      <c r="B1" s="2" t="s">
        <v>23</v>
      </c>
    </row>
    <row r="2" spans="1:2" x14ac:dyDescent="0.2">
      <c r="B2" s="1" t="e">
        <f t="shared" ref="B2" si="0">MID(A2,FIND("policy ",A2)+7,FIND(" ",A2,FIND("policy ",A2)+7)-FIND("policy ",A2)-7)</f>
        <v>#VALUE!</v>
      </c>
    </row>
  </sheetData>
  <pageMargins left="0.7" right="0.7" top="0.75" bottom="0.75" header="0.3" footer="0.3"/>
  <pageSetup paperSize="9" orientation="portrait"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42DF-A258-428E-989E-75DDD7825393}">
  <sheetPr codeName="Sheet11"/>
  <dimension ref="A1:O2"/>
  <sheetViews>
    <sheetView showGridLines="0" workbookViewId="0">
      <pane ySplit="1" topLeftCell="A2" activePane="bottomLeft" state="frozen"/>
      <selection pane="bottomLeft" activeCell="C2" sqref="C2"/>
    </sheetView>
  </sheetViews>
  <sheetFormatPr defaultColWidth="9.21875" defaultRowHeight="10.199999999999999" x14ac:dyDescent="0.2"/>
  <cols>
    <col min="1" max="2" width="22.21875" style="1" customWidth="1"/>
    <col min="3" max="3" width="26.5546875" style="1" bestFit="1" customWidth="1"/>
    <col min="4" max="4" width="84.77734375" style="1" customWidth="1"/>
    <col min="5" max="5" width="17.77734375" style="1" customWidth="1"/>
    <col min="6" max="6" width="19.77734375" style="1" customWidth="1"/>
    <col min="7" max="8" width="19.77734375" style="1" bestFit="1" customWidth="1"/>
    <col min="9" max="9" width="19" style="1" bestFit="1" customWidth="1"/>
    <col min="10" max="15" width="19" style="1" customWidth="1"/>
    <col min="16" max="16384" width="9.21875" style="1"/>
  </cols>
  <sheetData>
    <row r="1" spans="1:15" x14ac:dyDescent="0.2">
      <c r="A1" s="2" t="s">
        <v>0</v>
      </c>
      <c r="B1" s="3" t="s">
        <v>57</v>
      </c>
      <c r="C1" s="2" t="s">
        <v>103</v>
      </c>
      <c r="D1" s="2" t="s">
        <v>39</v>
      </c>
      <c r="E1" s="2" t="s">
        <v>40</v>
      </c>
      <c r="F1" s="2" t="s">
        <v>41</v>
      </c>
      <c r="G1" s="2" t="s">
        <v>42</v>
      </c>
      <c r="H1" s="2" t="s">
        <v>43</v>
      </c>
      <c r="I1" s="2" t="s">
        <v>44</v>
      </c>
      <c r="J1" s="2" t="s">
        <v>45</v>
      </c>
      <c r="K1" s="2" t="s">
        <v>58</v>
      </c>
      <c r="L1" s="2" t="s">
        <v>59</v>
      </c>
      <c r="M1" s="2" t="s">
        <v>60</v>
      </c>
      <c r="N1" s="2" t="s">
        <v>61</v>
      </c>
      <c r="O1" s="2" t="s">
        <v>62</v>
      </c>
    </row>
    <row r="2" spans="1:15" x14ac:dyDescent="0.2">
      <c r="B2" s="1" t="e">
        <f t="shared" ref="B2" si="0">LEFT(A2,LEN(A2)-1)&amp;" }"</f>
        <v>#VALUE!</v>
      </c>
      <c r="C2" s="1" t="e">
        <f t="shared" ref="C2" si="1">MID(A2,FIND("pool /",A2)+5,FIND(" ",A2,FIND("pool /",A2)+5)-FIND("pool /",A2)-5)</f>
        <v>#VALUE!</v>
      </c>
      <c r="D2" s="1" t="e">
        <f>MID(B2,FIND("members ",B2)+10,FIND("} }",B2,FIND("members ",B2)+10)-FIND("members ",B2)-8)</f>
        <v>#VALUE!</v>
      </c>
      <c r="E2" s="1" t="e">
        <f t="shared" ref="E2" si="2">(LEN(D2)-LEN(SUBSTITUTE(D2,".","")))/3</f>
        <v>#VALUE!</v>
      </c>
      <c r="F2" s="1" t="str">
        <f t="shared" ref="F2:O2" si="3">IFERROR(MID(SUBSTITUTE($D2,"/","@/",F$1),FIND("@/",SUBSTITUTE($D2,"/","@/",F$1))+1,FIND("}",SUBSTITUTE($D2,"/","@/",F$1),FIND("@/",SUBSTITUTE($D2,"/","@/",F$1)))-FIND("@/",SUBSTITUTE($D2,"/","@/",F$1))),"")</f>
        <v/>
      </c>
      <c r="G2" s="1" t="str">
        <f t="shared" si="3"/>
        <v/>
      </c>
      <c r="H2" s="1" t="str">
        <f t="shared" si="3"/>
        <v/>
      </c>
      <c r="I2" s="1" t="str">
        <f t="shared" si="3"/>
        <v/>
      </c>
      <c r="J2" s="1" t="str">
        <f t="shared" si="3"/>
        <v/>
      </c>
      <c r="K2" s="1" t="str">
        <f t="shared" si="3"/>
        <v/>
      </c>
      <c r="L2" s="1" t="str">
        <f t="shared" si="3"/>
        <v/>
      </c>
      <c r="M2" s="1" t="str">
        <f t="shared" si="3"/>
        <v/>
      </c>
      <c r="N2" s="1" t="str">
        <f t="shared" si="3"/>
        <v/>
      </c>
      <c r="O2" s="1" t="str">
        <f t="shared" si="3"/>
        <v/>
      </c>
    </row>
  </sheetData>
  <pageMargins left="0.7" right="0.7" top="0.75" bottom="0.75" header="0.3" footer="0.3"/>
  <pageSetup paperSize="9" orientation="portrait"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9AD6A-A4FF-4224-9D05-7D60B7A07080}">
  <dimension ref="A1:C2"/>
  <sheetViews>
    <sheetView showGridLines="0" zoomScaleNormal="10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3" width="34.21875" style="1" bestFit="1" customWidth="1"/>
    <col min="4" max="16384" width="9.21875" style="1"/>
  </cols>
  <sheetData>
    <row r="1" spans="1:3" x14ac:dyDescent="0.2">
      <c r="A1" s="2" t="s">
        <v>0</v>
      </c>
      <c r="B1" s="3" t="s">
        <v>57</v>
      </c>
      <c r="C1" s="2" t="s">
        <v>23</v>
      </c>
    </row>
    <row r="2" spans="1:3" x14ac:dyDescent="0.2">
      <c r="B2" s="1" t="e">
        <f t="shared" ref="B2" si="0">LEFT(A2,LEN(A2)-1)&amp;" }"</f>
        <v>#VALUE!</v>
      </c>
      <c r="C2" s="1" t="e">
        <f>MID(A2,FIND("/",A2),FIND(" ",A2,FIND("/",A2))-FIND("/",A2))</f>
        <v>#VALUE!</v>
      </c>
    </row>
  </sheetData>
  <pageMargins left="0.7" right="0.7" top="0.75" bottom="0.75" header="0.3" footer="0.3"/>
  <pageSetup paperSize="9" orientation="portrait"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E0A3-614F-46E6-80C1-E46E2651BEBF}">
  <dimension ref="A1:C2"/>
  <sheetViews>
    <sheetView showGridLines="0" zoomScaleNormal="10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3" width="34.21875" style="1" bestFit="1" customWidth="1"/>
    <col min="4" max="16384" width="9.21875" style="1"/>
  </cols>
  <sheetData>
    <row r="1" spans="1:3" x14ac:dyDescent="0.2">
      <c r="A1" s="2" t="s">
        <v>0</v>
      </c>
      <c r="B1" s="3" t="s">
        <v>57</v>
      </c>
      <c r="C1" s="2" t="s">
        <v>23</v>
      </c>
    </row>
    <row r="2" spans="1:3" x14ac:dyDescent="0.2">
      <c r="B2" s="1" t="e">
        <f t="shared" ref="B2" si="0">LEFT(A2,LEN(A2)-1)&amp;" }"</f>
        <v>#VALUE!</v>
      </c>
      <c r="C2" s="1" t="e">
        <f>MID(A2,FIND("/",A2),FIND(" ",A2,FIND("/",A2))-FIND("/",A2))</f>
        <v>#VALUE!</v>
      </c>
    </row>
  </sheetData>
  <pageMargins left="0.7" right="0.7" top="0.75" bottom="0.75" header="0.3" footer="0.3"/>
  <pageSetup paperSize="9" orientation="portrait"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4F9C1-A03F-4E46-8325-81448B385BA6}">
  <sheetPr codeName="Sheet3"/>
  <dimension ref="A1:M2"/>
  <sheetViews>
    <sheetView showGridLines="0" topLeftCell="E1" zoomScaleNormal="100" workbookViewId="0">
      <pane ySplit="1" topLeftCell="A2" activePane="bottomLeft" state="frozen"/>
      <selection pane="bottomLeft" activeCell="E2" sqref="E2"/>
    </sheetView>
  </sheetViews>
  <sheetFormatPr defaultColWidth="9.21875" defaultRowHeight="10.199999999999999" x14ac:dyDescent="0.2"/>
  <cols>
    <col min="1" max="1" width="42.21875" style="1" bestFit="1" customWidth="1"/>
    <col min="2" max="2" width="42.21875" style="1" customWidth="1"/>
    <col min="3" max="3" width="34.21875" style="1" bestFit="1" customWidth="1"/>
    <col min="4" max="4" width="9.44140625" style="1" customWidth="1"/>
    <col min="5" max="5" width="45.21875" style="1" customWidth="1"/>
    <col min="6" max="11" width="45.44140625" style="1" customWidth="1"/>
    <col min="12" max="12" width="54.21875" style="1" bestFit="1" customWidth="1"/>
    <col min="13" max="13" width="22" style="1" bestFit="1" customWidth="1"/>
    <col min="14" max="16384" width="9.21875" style="1"/>
  </cols>
  <sheetData>
    <row r="1" spans="1:13" x14ac:dyDescent="0.2">
      <c r="A1" s="2" t="s">
        <v>0</v>
      </c>
      <c r="B1" s="3" t="s">
        <v>57</v>
      </c>
      <c r="C1" s="2" t="s">
        <v>23</v>
      </c>
      <c r="D1" s="2" t="s">
        <v>30</v>
      </c>
      <c r="E1" s="2" t="s">
        <v>49</v>
      </c>
      <c r="F1" s="2" t="s">
        <v>50</v>
      </c>
      <c r="G1" s="2" t="s">
        <v>51</v>
      </c>
      <c r="H1" s="2" t="s">
        <v>92</v>
      </c>
      <c r="I1" s="2" t="s">
        <v>398</v>
      </c>
      <c r="J1" s="2" t="s">
        <v>91</v>
      </c>
      <c r="K1" s="2" t="s">
        <v>52</v>
      </c>
      <c r="L1" s="2" t="s">
        <v>53</v>
      </c>
      <c r="M1" s="2" t="s">
        <v>102</v>
      </c>
    </row>
    <row r="2" spans="1:13" x14ac:dyDescent="0.2">
      <c r="B2" s="1" t="e">
        <f t="shared" ref="B2" si="0">LEFT(A2,LEN(A2)-1)&amp;" }"</f>
        <v>#VALUE!</v>
      </c>
      <c r="C2" s="1" t="e">
        <f>MID(A2,FIND("/",A2),FIND(" ",A2,FIND("/",A2))-FIND("/",A2))</f>
        <v>#VALUE!</v>
      </c>
      <c r="D2" s="1" t="e">
        <f>MID(A2,FIND("client-ssl ",A2),FIND(" ",A2,FIND("client-ssl ",A2))-FIND("client-ssl ",A2))</f>
        <v>#VALUE!</v>
      </c>
      <c r="E2" s="1" t="e">
        <f t="shared" ref="E2" si="1">MID(A2,FIND("cert /",A2)+5,FIND(" ",A2,FIND("cert /",A2)+5)-FIND("cert /",A2)-5)</f>
        <v>#VALUE!</v>
      </c>
      <c r="F2" s="1" t="e">
        <f t="shared" ref="F2" si="2">MID(B2,FIND("key /",B2)+4,FIND(" ",B2,FIND("key /",B2)+4)-FIND("key /",B2)-4)</f>
        <v>#VALUE!</v>
      </c>
      <c r="G2" s="1" t="e">
        <f>VLOOKUP(ClientSSL[[#This Row],[CERT]],Cert[[#All],[NAME]:[CACHE PATH]],2,FALSE)</f>
        <v>#VALUE!</v>
      </c>
      <c r="H2" s="1" t="e">
        <f>SUBSTITUTE(SUBSTITUTE(ClientSSL[[#This Row],[CERT CACHE PATH]],"/config/filestore/files_d/Common_d/certificate_d/",""),":","_")</f>
        <v>#VALUE!</v>
      </c>
      <c r="I2" s="1" t="e">
        <f>_xlfn.XLOOKUP(ClientSSL[[#This Row],[REMOVE FILE STORE PATH]],CertificateDetails[FileName],CertificateDetails[Subject])</f>
        <v>#VALUE!</v>
      </c>
      <c r="J2" s="1" t="e">
        <f>_xlfn.XLOOKUP(ClientSSL[[#This Row],[REMOVE FILE STORE PATH]],CertificateDetails[FileName],CertificateDetails[SAN without CHAR(10)])</f>
        <v>#VALUE!</v>
      </c>
      <c r="L2" s="5" t="e">
        <f>MID(A2,FIND("ciphers ",A2)+8,FIND(" ",A2,FIND("ciphers ",A2)+8)-FIND("ciphers ",A2)-8)</f>
        <v>#VALUE!</v>
      </c>
      <c r="M2" s="5" t="e">
        <f t="shared" ref="M2" si="3">MID(A2,FIND("cipher-group ",A2)+13,FIND(" ",A2,FIND("cipher-group ",A2)+13)-FIND("cipher-group ",A2)-13)</f>
        <v>#VALUE!</v>
      </c>
    </row>
  </sheetData>
  <pageMargins left="0.7" right="0.7" top="0.75" bottom="0.75" header="0.3" footer="0.3"/>
  <pageSetup paperSize="9" orientation="portrait" r:id="rId1"/>
  <tableParts count="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8C44-038E-41B9-8A6E-1DD1296A7B7E}">
  <dimension ref="A1:M2"/>
  <sheetViews>
    <sheetView showGridLines="0" zoomScaleNormal="10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3" width="34.21875" style="1" bestFit="1" customWidth="1"/>
    <col min="4" max="4" width="9.44140625" style="1" customWidth="1"/>
    <col min="5" max="5" width="45.21875" style="1" customWidth="1"/>
    <col min="6" max="11" width="45.44140625" style="1" customWidth="1"/>
    <col min="12" max="12" width="54.21875" style="1" bestFit="1" customWidth="1"/>
    <col min="13" max="13" width="22" style="1" bestFit="1" customWidth="1"/>
    <col min="14" max="16384" width="9.21875" style="1"/>
  </cols>
  <sheetData>
    <row r="1" spans="1:13" x14ac:dyDescent="0.2">
      <c r="A1" s="2" t="s">
        <v>0</v>
      </c>
      <c r="B1" s="3" t="s">
        <v>57</v>
      </c>
      <c r="C1" s="2" t="s">
        <v>23</v>
      </c>
      <c r="D1" s="2" t="s">
        <v>30</v>
      </c>
      <c r="E1" s="2" t="s">
        <v>49</v>
      </c>
      <c r="F1" s="2" t="s">
        <v>50</v>
      </c>
      <c r="G1" s="2" t="s">
        <v>51</v>
      </c>
      <c r="H1" s="2" t="s">
        <v>92</v>
      </c>
      <c r="I1" s="2" t="s">
        <v>398</v>
      </c>
      <c r="J1" s="2" t="s">
        <v>91</v>
      </c>
      <c r="K1" s="2" t="s">
        <v>52</v>
      </c>
      <c r="L1" s="2" t="s">
        <v>53</v>
      </c>
      <c r="M1" s="2" t="s">
        <v>102</v>
      </c>
    </row>
    <row r="2" spans="1:13" x14ac:dyDescent="0.2">
      <c r="B2" s="1" t="e">
        <f t="shared" ref="B2" si="0">LEFT(A2,LEN(A2)-1)&amp;" }"</f>
        <v>#VALUE!</v>
      </c>
      <c r="C2" s="1" t="e">
        <f>MID(A2,FIND("/",A2),FIND(" ",A2,FIND("/",A2))-FIND("/",A2))</f>
        <v>#VALUE!</v>
      </c>
      <c r="D2" s="1" t="e">
        <f>MID(A2,FIND("client-ssl ",A2),FIND(" ",A2,FIND("client-ssl ",A2))-FIND("client-ssl ",A2))</f>
        <v>#VALUE!</v>
      </c>
      <c r="E2" s="1" t="e">
        <f t="shared" ref="E2" si="1">MID(A2,FIND("cert /",A2)+5,FIND(" ",A2,FIND("cert /",A2)+5)-FIND("cert /",A2)-5)</f>
        <v>#VALUE!</v>
      </c>
      <c r="F2" s="1" t="e">
        <f t="shared" ref="F2" si="2">MID(B2,FIND("key /",B2)+4,FIND(" ",B2,FIND("key /",B2)+4)-FIND("key /",B2)-4)</f>
        <v>#VALUE!</v>
      </c>
      <c r="G2" s="1" t="e">
        <f>VLOOKUP(ServerSSL[[#This Row],[CERT]],Cert[[#All],[NAME]:[CACHE PATH]],2,FALSE)</f>
        <v>#VALUE!</v>
      </c>
      <c r="H2" s="1" t="e">
        <f>SUBSTITUTE(SUBSTITUTE(ServerSSL[[#This Row],[CERT CACHE PATH]],"/config/filestore/files_d/Common_d/certificate_d/",""),":","_")</f>
        <v>#VALUE!</v>
      </c>
      <c r="I2" s="1" t="e">
        <f>_xlfn.XLOOKUP(ServerSSL[[#This Row],[REMOVE FILE STORE PATH]],CertificateDetails[FileName],CertificateDetails[Subject])</f>
        <v>#VALUE!</v>
      </c>
      <c r="J2" s="1" t="e">
        <f>_xlfn.XLOOKUP(ServerSSL[[#This Row],[REMOVE FILE STORE PATH]],CertificateDetails[FileName],CertificateDetails[SAN])</f>
        <v>#VALUE!</v>
      </c>
      <c r="L2" s="5" t="e">
        <f>MID(A2,FIND("ciphers ",A2)+8,FIND(" ",A2,FIND("ciphers ",A2)+8)-FIND("ciphers ",A2)-8)</f>
        <v>#VALUE!</v>
      </c>
      <c r="M2" s="5" t="e">
        <f t="shared" ref="M2" si="3">MID(A2,FIND("cipher-group ",A2)+13,FIND(" ",A2,FIND("cipher-group ",A2)+13)-FIND("cipher-group ",A2)-13)</f>
        <v>#VALUE!</v>
      </c>
    </row>
  </sheetData>
  <pageMargins left="0.7" right="0.7" top="0.75" bottom="0.75" header="0.3" footer="0.3"/>
  <pageSetup paperSize="9" orientation="portrait"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14D6-5937-415F-B116-88DF24F0DD51}">
  <sheetPr codeName="Sheet13"/>
  <dimension ref="A1:BD2"/>
  <sheetViews>
    <sheetView showGridLines="0"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9.21875" defaultRowHeight="10.199999999999999" x14ac:dyDescent="0.2"/>
  <cols>
    <col min="1" max="1" width="21.21875" style="4" customWidth="1"/>
    <col min="2" max="2" width="10.21875" style="4" customWidth="1"/>
    <col min="3" max="5" width="26.5546875" style="4" customWidth="1"/>
    <col min="6" max="6" width="9.21875" style="1" customWidth="1"/>
    <col min="7" max="7" width="7.77734375" style="4" customWidth="1"/>
    <col min="8" max="8" width="33.21875" style="4" bestFit="1" customWidth="1"/>
    <col min="9" max="9" width="30.21875" style="1" customWidth="1"/>
    <col min="10" max="10" width="8.77734375" style="4" bestFit="1" customWidth="1"/>
    <col min="11" max="11" width="17.44140625" style="4" customWidth="1"/>
    <col min="12" max="12" width="13.5546875" style="4" customWidth="1"/>
    <col min="13" max="13" width="13.44140625" style="4" customWidth="1"/>
    <col min="14" max="15" width="19.21875" style="4" customWidth="1"/>
    <col min="16" max="18" width="28" style="4" customWidth="1"/>
    <col min="19" max="19" width="16.21875" style="4" customWidth="1"/>
    <col min="20" max="20" width="17" style="4" customWidth="1"/>
    <col min="21" max="22" width="47.21875" style="4" customWidth="1"/>
    <col min="23" max="23" width="34.21875" style="4" customWidth="1"/>
    <col min="24" max="24" width="21.77734375" style="4" customWidth="1"/>
    <col min="25" max="26" width="9.21875" style="4" customWidth="1"/>
    <col min="27" max="27" width="36.21875" style="9" customWidth="1"/>
    <col min="28" max="28" width="15.21875" style="4" customWidth="1"/>
    <col min="29" max="29" width="57.21875" style="4" customWidth="1"/>
    <col min="30" max="32" width="24.21875" style="4" customWidth="1"/>
    <col min="33" max="33" width="27.21875" style="4" customWidth="1"/>
    <col min="34" max="34" width="9.5546875" style="4" bestFit="1" customWidth="1"/>
    <col min="35" max="35" width="9.21875" style="1"/>
    <col min="36" max="36" width="17.77734375" style="4" customWidth="1"/>
    <col min="37" max="56" width="10.77734375" style="4" hidden="1" customWidth="1"/>
    <col min="57" max="60" width="10.77734375" style="4" customWidth="1"/>
    <col min="61" max="61" width="11.77734375" style="4" customWidth="1"/>
    <col min="62" max="62" width="20.5546875" style="4" customWidth="1"/>
    <col min="63" max="16384" width="9.21875" style="4"/>
  </cols>
  <sheetData>
    <row r="1" spans="1:56" x14ac:dyDescent="0.3">
      <c r="A1" s="3" t="s">
        <v>0</v>
      </c>
      <c r="B1" s="3" t="s">
        <v>24</v>
      </c>
      <c r="C1" s="3" t="s">
        <v>1</v>
      </c>
      <c r="D1" s="3" t="s">
        <v>34</v>
      </c>
      <c r="E1" s="3" t="s">
        <v>575</v>
      </c>
      <c r="F1" s="3" t="s">
        <v>2</v>
      </c>
      <c r="G1" s="3" t="s">
        <v>93</v>
      </c>
      <c r="H1" s="3" t="s">
        <v>86</v>
      </c>
      <c r="I1" s="3" t="s">
        <v>3</v>
      </c>
      <c r="J1" s="3" t="s">
        <v>4</v>
      </c>
      <c r="K1" s="3" t="s">
        <v>390</v>
      </c>
      <c r="L1" s="3" t="s">
        <v>10</v>
      </c>
      <c r="M1" s="3" t="s">
        <v>5</v>
      </c>
      <c r="N1" s="3" t="s">
        <v>391</v>
      </c>
      <c r="O1" s="3" t="s">
        <v>392</v>
      </c>
      <c r="P1" s="3" t="s">
        <v>393</v>
      </c>
      <c r="Q1" s="3" t="s">
        <v>394</v>
      </c>
      <c r="R1" s="3" t="s">
        <v>395</v>
      </c>
      <c r="S1" s="3" t="s">
        <v>35</v>
      </c>
      <c r="T1" s="3" t="s">
        <v>396</v>
      </c>
      <c r="U1" s="3" t="s">
        <v>443</v>
      </c>
      <c r="V1" s="3" t="s">
        <v>397</v>
      </c>
      <c r="W1" s="3" t="s">
        <v>8</v>
      </c>
      <c r="X1" s="3" t="s">
        <v>84</v>
      </c>
      <c r="Y1" s="3" t="s">
        <v>6</v>
      </c>
      <c r="Z1" s="3" t="s">
        <v>9</v>
      </c>
      <c r="AA1" s="8" t="s">
        <v>33</v>
      </c>
      <c r="AB1" s="3" t="s">
        <v>38</v>
      </c>
      <c r="AC1" s="3" t="s">
        <v>46</v>
      </c>
      <c r="AD1" s="3" t="s">
        <v>47</v>
      </c>
      <c r="AE1" s="3" t="s">
        <v>37</v>
      </c>
      <c r="AF1" s="3" t="s">
        <v>7</v>
      </c>
      <c r="AG1" s="3" t="s">
        <v>389</v>
      </c>
      <c r="AH1" s="3" t="s">
        <v>22</v>
      </c>
      <c r="AI1" s="3" t="s">
        <v>11</v>
      </c>
      <c r="AJ1" s="3" t="s">
        <v>12</v>
      </c>
      <c r="AK1" s="3" t="s">
        <v>41</v>
      </c>
      <c r="AL1" s="3" t="s">
        <v>96</v>
      </c>
      <c r="AM1" s="3" t="s">
        <v>42</v>
      </c>
      <c r="AN1" s="3" t="s">
        <v>97</v>
      </c>
      <c r="AO1" s="3" t="s">
        <v>43</v>
      </c>
      <c r="AP1" s="3" t="s">
        <v>98</v>
      </c>
      <c r="AQ1" s="3" t="s">
        <v>44</v>
      </c>
      <c r="AR1" s="3" t="s">
        <v>99</v>
      </c>
      <c r="AS1" s="3" t="s">
        <v>45</v>
      </c>
      <c r="AT1" s="3" t="s">
        <v>100</v>
      </c>
      <c r="AU1" s="3" t="s">
        <v>17</v>
      </c>
      <c r="AV1" s="3" t="s">
        <v>18</v>
      </c>
      <c r="AW1" s="3" t="s">
        <v>19</v>
      </c>
      <c r="AX1" s="3" t="s">
        <v>20</v>
      </c>
      <c r="AY1" s="3" t="s">
        <v>21</v>
      </c>
      <c r="AZ1" s="3" t="s">
        <v>25</v>
      </c>
      <c r="BA1" s="3" t="s">
        <v>26</v>
      </c>
      <c r="BB1" s="3" t="s">
        <v>27</v>
      </c>
      <c r="BC1" s="3" t="s">
        <v>28</v>
      </c>
      <c r="BD1" s="3" t="s">
        <v>29</v>
      </c>
    </row>
    <row r="2" spans="1:56" x14ac:dyDescent="0.3">
      <c r="B2" s="4" t="e">
        <f t="shared" ref="B2" si="0">MID(MID(A2,FIND("/",A2),100),1,FIND("/",MID(A2,FIND("/",A2),100),2))</f>
        <v>#VALUE!</v>
      </c>
      <c r="C2" s="4" t="e">
        <f t="shared" ref="C2" si="1">MID(MID(SUBSTITUTE(A2,"/","@",2),FIND("@",SUBSTITUTE(A2,"/","@",2))+1,1000),1,FIND(" ",MID(SUBSTITUTE(A2,"/","@",2),FIND("@",SUBSTITUTE(A2,"/","@",2))+1,1000))-1)</f>
        <v>#VALUE!</v>
      </c>
      <c r="D2" s="4" t="str">
        <f t="shared" ref="D2" si="2">IFERROR(MID(MID(A2,FIND("description",A2)+12,1000),1,FIND("destination",MID(A2,FIND("description",A2)+12,1000))-1),"")</f>
        <v/>
      </c>
      <c r="E2" s="4" t="str">
        <f>IFERROR(MID(A2,FIND(" last-modified-time ",A2)+20,FIND(" ",A2,FIND(" last-modified-time ",A2)+20)-FIND(" last-modified-time ",A2)-20),"")</f>
        <v/>
      </c>
      <c r="F2" s="4" t="str">
        <f t="shared" ref="F2" si="3">IFERROR(MID(A2,FIND(" source ",A2)+8,FIND(" ",A2,FIND(" source ",A2)+8)-FIND(" source ",A2)-8),"")</f>
        <v/>
      </c>
      <c r="G2" s="4" t="str">
        <f t="shared" ref="G2" si="4">IF(LEN(H2)-LEN(SUBSTITUTE(H2,":",""))=1,"IPv4","IPv6")</f>
        <v>IPv6</v>
      </c>
      <c r="H2" s="4" t="str">
        <f t="shared" ref="H2" si="5">IFERROR(MID(A2,FIND(" destination ",A2)+13,FIND(" ",A2,FIND(" destination ",A2)+13)-FIND(" destination ",A2)-13),"")</f>
        <v/>
      </c>
      <c r="I2" s="4" t="e">
        <f t="shared" ref="I2" si="6">IF(G2="IPv4",LEFT(H2,FIND(":",H2)-1),LEFT(H2,FIND(".",H2)-1))</f>
        <v>#VALUE!</v>
      </c>
      <c r="J2" s="4" t="e">
        <f>IF(G2="IPv4",RIGHT(H2,LEN(H2)-FIND(":",H2)),RIGHT(H2,LEN(H2)-FIND(".",H2)))</f>
        <v>#VALUE!</v>
      </c>
      <c r="K2" s="4" t="str">
        <f>IFERROR(MID(A2,FIND("ip-forward",A2),10),"")</f>
        <v/>
      </c>
      <c r="L2" s="4" t="str">
        <f t="shared" ref="L2" si="7">IFERROR(MID(MID(AI2,FIND("fastL4",AI2),100),1,FIND("{ }",MID(AI2,FIND("fastL4",AI2),100))-2),"")</f>
        <v/>
      </c>
      <c r="M2" s="4" t="str">
        <f>IFERROR(MID(MID(MID(A2,FIND("ip-protocol",A2),50),FIND(" ",MID(A2,FIND("ip-protocol",A2),50))+1,10),1,FIND(" ",MID(MID(A2,FIND("ip-protocol",A2),50),FIND(" ",MID(A2,FIND("ip-protocol",A2),50))+1,10))-1),"")</f>
        <v/>
      </c>
      <c r="N2" s="4" t="str">
        <f t="shared" ref="N2" si="8">IF(AU2="tcp",AK2,IF(AV2="tcp",AL2,IF(AW2="tcp",AM2,IF(AX2="tcp",AN2,IF(AY2="tcp",AO2,IF(AZ2="tcp",AP2,IF(BA2="tcp",AQ2,IF(BB2="tcp",AR2,IF(BC2="tcp",AS2,IF(BD2="tcp",AT2,""))))))))))</f>
        <v/>
      </c>
      <c r="O2" s="4" t="str">
        <f t="shared" ref="O2" si="9">IF(AU2="udp",AK2,IF(AV2="udp",AL2,IF(AW2="udp",AM2,IF(AX2="udp",AN2,IF(AY2="udp",AO2,IF(AZ2="udp",AP2,IF(BA2="udp",AQ2,IF(BB2="udp",AR2,IF(BC2="udp",AS2,IF(BD2="udp",AT2,""))))))))))</f>
        <v/>
      </c>
      <c r="P2" s="4" t="str">
        <f t="shared" ref="P2" si="10">IF(AU2="http",AK2,IF(AV2="http",AL2,IF(AW2="http",AM2,IF(AX2="http",AN2,IF(AY2="http",AO2,IF(AZ2="http",AP2,IF(BA2="http",AQ2,IF(BB2="http",AR2,IF(BC2="http",AS2,IF(BD2="http",AT2,""))))))))))</f>
        <v/>
      </c>
      <c r="Q2" s="4" t="str">
        <f t="shared" ref="Q2" si="11">IF(AU2="asm",AK2,IF(AV2="asm",AL2,IF(AW2="asm",AM2,IF(AX2="asm",AN2,IF(AY2="asm",AO2,IF(AZ2="asm",AP2,IF(BA2="asm",AQ2,IF(BB2="asm",AR2,IF(BC2="asm",AS2,IF(BD2="asm",AT2,""))))))))))</f>
        <v/>
      </c>
      <c r="R2" s="4" t="str">
        <f>IFERROR(MID(A2,FIND(" policies ",A2)+12,FIND("} )",A2,FIND(" policies ",A2)+12)-FIND(" policies ",A2)-12),"")</f>
        <v/>
      </c>
      <c r="T2" s="4" t="str">
        <f>IF(AU2="client-ssl",AK2&amp;" ","")&amp;IF(AV2="client-ssl",AL2&amp;" ","")&amp;IF(AW2="client-ssl",AM2&amp;" ","")&amp;IF(AX2="client-ssl",AN2&amp;" ","")&amp;IF(AY2="client-ssl",AO2&amp;" ","")&amp;IF(AZ2="client-ssl",AP2&amp;" ","")&amp;IF(BA2="client-ssl",AQ2&amp;" ","")&amp;IF(BB2="client-ssl",AR2&amp;" ","")&amp;IF(BC2="client-ssl",AS2&amp;" ","")&amp;IF(BD2="client-ssl",AT2&amp;" ","")</f>
        <v/>
      </c>
      <c r="U2" s="4" t="str" cm="1">
        <f t="array" ref="U2">SUBSTITUTE(IF(AT2="client-ssl",_xlfn.XLOOKUP(SUBSTITUTE(AJ2," { context clientside }",""),ClientSSL[NAME],"CN:"&amp;ClientSSL[NAME]&amp;" SAN:"&amp;ClientSSL[SAN]&amp;" ","",0),"")&amp;IF(AU2="client-ssl",_xlfn.XLOOKUP(SUBSTITUTE(AK2," { context clientside }",""),ClientSSL[NAME],"CN:"&amp;ClientSSL[NAME]&amp;" SAN:"&amp;ClientSSL[SAN]&amp;" ","",0),"")&amp;IF(AV2="client-ssl",_xlfn.XLOOKUP(SUBSTITUTE(AL2," { context clientside }",""),ClientSSL[NAME],"CN:"&amp;ClientSSL[NAME]&amp;" SAN:"&amp;ClientSSL[SAN]&amp;" ","",0),"")
&amp;IF(AW2="client-ssl",_xlfn.XLOOKUP(SUBSTITUTE(AM2," { context clientside }",""),ClientSSL[NAME],"CN:"&amp;ClientSSL[NAME]&amp;" SAN:"&amp;ClientSSL[SAN]&amp;" ","",0),"")&amp;IF(AX2="client-ssl",_xlfn.XLOOKUP(SUBSTITUTE(AN2," { context clientside }",""),ClientSSL[NAME],"CN:"&amp;ClientSSL[NAME]&amp;" SAN:"&amp;ClientSSL[SAN]&amp;" ","",0),"")&amp;IF(AY2="client-ssl",_xlfn.XLOOKUP(SUBSTITUTE(AO2," { context clientside }",""),ClientSSL[NAME],"CN:"&amp;ClientSSL[NAME]&amp;" SAN:"&amp;ClientSSL[SAN]&amp;" ","",0),"")
&amp;IF(AZ2="client-ssl",_xlfn.XLOOKUP(SUBSTITUTE(AP2," { context clientside }",""),ClientSSL[NAME],"CN:"&amp;ClientSSL[NAME]&amp;" SAN:"&amp;ClientSSL[SAN]&amp;" ","",0),"")&amp;IF(BA2="client-ssl",_xlfn.XLOOKUP(SUBSTITUTE(AQ2," { context clientside }",""),ClientSSL[NAME],"CN:"&amp;ClientSSL[NAME]&amp;" SAN:"&amp;ClientSSL[SAN]&amp;" ","",0),"")&amp;IF(BB2="client-ssl",_xlfn.XLOOKUP(SUBSTITUTE(AR2," { context clientside }",""),ClientSSL[NAME],"CN:"&amp;ClientSSL[NAME]&amp;" SAN:"&amp;ClientSSL[SAN]&amp;" ","",0),"")
&amp;IF(BC2="client-ssl",_xlfn.XLOOKUP(SUBSTITUTE(AS2," { context clientside }",""),ClientSSL[NAME],"CN:"&amp;ClientSSL[NAME]&amp;" SAN:"&amp;ClientSSL[SAN]&amp;" ","",0),"")," CN:",CHAR(10)&amp;"CN:")</f>
        <v/>
      </c>
      <c r="V2" s="4" t="str">
        <f>IF(AU2="server-ssl",AK2,IF(AV2="server-ssl",AL2,IF(AW2="server-ssl",AM2,IF(AX2="server-ssl",AN2,IF(AY2="server-ssl",AO2,IF(AZ2="server-ssl",AP2,IF(BA2="server-ssl",AQ2,IF(BB2="server-ssl",AR2,IF(BC2="server-ssl",AS2,IF(BD2="server-ssl",AT2,""))))))))))</f>
        <v/>
      </c>
      <c r="W2" s="4" t="e">
        <f>MID(A2,FIND("source-address-translation { ",A2)+29,FIND(" }",A2,FIND("source-address-translation { ",A2)+29)-FIND("source-address-translation { ",A2)-29)</f>
        <v>#VALUE!</v>
      </c>
      <c r="X2" s="4" t="str">
        <f>IFERROR(MID(A2,FIND("snat ",A2)+5,FIND(" ",A2,FIND("snat ",A2)+5)-FIND("snat ",A2)-5),"")</f>
        <v/>
      </c>
      <c r="Y2" s="4" t="str">
        <f>IFERROR(MID(MID(MID(MID(A2,FIND("persist",A2),50),FIND("{",MID(A2,FIND("persist",A2),50))+1,100),FIND("n/",MID(MID(A2,FIND("persist",A2),50),FIND("{",MID(A2,FIND("persist",A2),50))+1,100))+2,50),1,FIND(" ",MID(MID(MID(A2,FIND("persist",A2),50),FIND("{",MID(A2,FIND("persist",A2),50))+1,100),FIND("n/",MID(MID(A2,FIND("persist",A2),50),FIND("{",MID(A2,FIND("persist",A2),50))+1,100))+2,50))-1),"")</f>
        <v/>
      </c>
      <c r="Z2" s="4" t="str">
        <f>IFERROR(MID(MID(MID(A2,FIND("fallback-persistence",A2),50),FIND("n/",MID(A2,FIND("fallback-persistence",A2),50))+2,50),1,FIND(" ",MID(MID(A2,FIND("fallback-persistence",A2),50),FIND("n/",MID(A2,FIND("fallback-persistence",A2),50))+2,50))-1),"")</f>
        <v/>
      </c>
      <c r="AA2" s="9" t="str">
        <f>IFERROR(MID(MID(A2,FIND("rules {",A2)+8,10000),1,FIND("}",MID(A2,FIND("rules {",A2)+8,10000))-2),"")</f>
        <v/>
      </c>
      <c r="AB2" s="4" t="str">
        <f>IFERROR(SUBSTITUTE(VLOOKUP(AF2,ltmpool!C:G,3,FALSE),"}","}"&amp;CHAR(10)),"")</f>
        <v/>
      </c>
      <c r="AE2" s="4" t="str">
        <f>IFERROR(SUBSTITUTE(VLOOKUP(AF2,ltmpool!C:G,2,FALSE),"}","}"&amp;CHAR(10)),"")</f>
        <v/>
      </c>
      <c r="AF2" s="4" t="str">
        <f>IFERROR(MID(A2,FIND("pool /",A2)+5,FIND(" ",A2,FIND("pool /",A2)+5)-FIND("pool /",A2)-5),"")</f>
        <v/>
      </c>
      <c r="AG2" s="4" t="str">
        <f>IFERROR(SUBSTITUTE(VLOOKUP(AF2,ltmpool!C:H,5,FALSE),"} /","} "&amp;CHAR(10)&amp;"/"),"")</f>
        <v/>
      </c>
      <c r="AH2" s="4">
        <f>(LEN(AA2)-LEN(SUBSTITUTE(AA2,"/","")))/2</f>
        <v>0</v>
      </c>
      <c r="AI2" s="4" t="e">
        <f>MID(MID(A2,FIND("profiles { /",A2)+11,2000),1,FIND("} }",MID(A2,FIND("profiles { /",A2)+11,2000))+1)</f>
        <v>#VALUE!</v>
      </c>
      <c r="AJ2" s="4" t="e">
        <f t="shared" ref="AJ2" si="12">(LEN(AI2)-LEN(SUBSTITUTE(AI2,"}","")))</f>
        <v>#VALUE!</v>
      </c>
      <c r="AK2" s="4" t="e">
        <f t="shared" ref="AK2" si="13">SUBSTITUTE(LEFT(SUBSTITUTE(AI2," }"," @",1),FIND("@",SUBSTITUTE(AI2," }"," @",1))),"@","}")</f>
        <v>#VALUE!</v>
      </c>
      <c r="AL2" s="4" t="str">
        <f t="shared" ref="AL2" si="14">IFERROR(MID(AI2,FIND("@",SUBSTITUTE(AI2," }","@",1))+3,FIND("#",SUBSTITUTE(AI2," }","#",2))-FIND("@",SUBSTITUTE(AI2," }","@",1))-1),"")</f>
        <v/>
      </c>
      <c r="AM2" s="4" t="str">
        <f t="shared" ref="AM2" si="15">IFERROR(MID(AI2,FIND("@",SUBSTITUTE(AI2," }","@",2))+3,FIND("#",SUBSTITUTE(AI2," }","#",3))-FIND("@",SUBSTITUTE(AI2," }","@",2))-1),"")</f>
        <v/>
      </c>
      <c r="AN2" s="4" t="str">
        <f t="shared" ref="AN2" si="16">IFERROR(MID(AI2,FIND("@",SUBSTITUTE(AI2," }","@",3))+3,FIND("#",SUBSTITUTE(AI2," }","#",4))-FIND("@",SUBSTITUTE(AI2," }","@",3))-1),"")</f>
        <v/>
      </c>
      <c r="AO2" s="4" t="str">
        <f t="shared" ref="AO2" si="17">IFERROR(MID(AI2,FIND("@",SUBSTITUTE(AI2," }","@",4))+3,FIND("#",SUBSTITUTE(AI2," }","#",5))-FIND("@",SUBSTITUTE(AI2," }","@",4))-1),"")</f>
        <v/>
      </c>
      <c r="AP2" s="4" t="str">
        <f t="shared" ref="AP2" si="18">IFERROR(MID(AI2,FIND("@",SUBSTITUTE(AI2," }","@",5))+3,FIND("#",SUBSTITUTE(AI2," }","#",6))-FIND("@",SUBSTITUTE(AI2," }","@",5))-1),"")</f>
        <v/>
      </c>
      <c r="AQ2" s="4" t="str">
        <f t="shared" ref="AQ2" si="19">IFERROR(MID(AI2,FIND("@",SUBSTITUTE(AI2," }","@",6))+3,FIND("#",SUBSTITUTE(AI2," }","#",7))-FIND("@",SUBSTITUTE(AI2," }","@",6))-1),"")</f>
        <v/>
      </c>
      <c r="AR2" s="4" t="str">
        <f t="shared" ref="AR2" si="20">IFERROR(MID(AI2,FIND("@",SUBSTITUTE(AI2," }","@",7))+3,FIND("#",SUBSTITUTE(AI2," }","#",8))-FIND("@",SUBSTITUTE(AI2," }","@",7))-1),"")</f>
        <v/>
      </c>
      <c r="AS2" s="4" t="str">
        <f t="shared" ref="AS2" si="21">IFERROR(MID(AI2,FIND("@",SUBSTITUTE(AI2," }","@",8))+3,FIND("#",SUBSTITUTE(AI2," }","#",9))-FIND("@",SUBSTITUTE(AI2," }","@",8))-1),"")</f>
        <v/>
      </c>
      <c r="AT2" s="4" t="str">
        <f t="shared" ref="AT2" si="22">IFERROR(MID(AI2,FIND("@",SUBSTITUTE(AI2," }","@",9))+3,FIND("#",SUBSTITUTE(AI2," }","#",10))-FIND("@",SUBSTITUTE(AI2," }","@",9))-1),"")</f>
        <v/>
      </c>
      <c r="AU2" s="4" t="str">
        <f>IFERROR(IFERROR(IFERROR(VLOOKUP(SUBSTITUTE(AK2," { }",""),ltmprofile!$B:$C,2,FALSE),VLOOKUP(SUBSTITUTE(AK2," { }",""),DefaultProfile[#All],2,FALSE)),VLOOKUP(SUBSTITUTE(AK2," { }",""),ASM[[POLICY NAME WITH ASM PREFIX]:[PROFILE TYPE]],2,FALSE)),"")</f>
        <v/>
      </c>
      <c r="AV2" s="4" t="str">
        <f>IFERROR(IFERROR(IFERROR(VLOOKUP(SUBSTITUTE(AL2," { }",""),ltmprofile!$B:$C,2,FALSE),VLOOKUP(SUBSTITUTE(AL2," { }",""),DefaultProfile[#All],2,FALSE)),VLOOKUP(SUBSTITUTE(AL2," { }",""),ASM[[POLICY NAME WITH ASM PREFIX]:[PROFILE TYPE]],2,FALSE)),"")</f>
        <v/>
      </c>
      <c r="AW2" s="4" t="str">
        <f>IFERROR(IFERROR(IFERROR(VLOOKUP(SUBSTITUTE(AM2," { }",""),ltmprofile!$B:$C,2,FALSE),VLOOKUP(SUBSTITUTE(AM2," { }",""),DefaultProfile[#All],2,FALSE)),VLOOKUP(SUBSTITUTE(AM2," { }",""),ASM[[POLICY NAME WITH ASM PREFIX]:[PROFILE TYPE]],2,FALSE)),"")</f>
        <v/>
      </c>
      <c r="AX2" s="4" t="str">
        <f>IFERROR(IFERROR(IFERROR(VLOOKUP(SUBSTITUTE(AN2," { }",""),ltmprofile!$B:$C,2,FALSE),VLOOKUP(SUBSTITUTE(AN2," { }",""),DefaultProfile[#All],2,FALSE)),VLOOKUP(SUBSTITUTE(AN2," { }",""),ASM[[POLICY NAME WITH ASM PREFIX]:[PROFILE TYPE]],2,FALSE)),"")</f>
        <v/>
      </c>
      <c r="AY2" s="4" t="str">
        <f>IFERROR(IFERROR(IFERROR(VLOOKUP(SUBSTITUTE(AO2," { }",""),ltmprofile!$B:$C,2,FALSE),VLOOKUP(SUBSTITUTE(AO2," { }",""),DefaultProfile[#All],2,FALSE)),VLOOKUP(SUBSTITUTE(AO2," { }",""),ASM[[POLICY NAME WITH ASM PREFIX]:[PROFILE TYPE]],2,FALSE)),"")</f>
        <v/>
      </c>
      <c r="AZ2" s="4" t="str">
        <f>IFERROR(IFERROR(IFERROR(VLOOKUP(SUBSTITUTE(AP2," { }",""),ltmprofile!$B:$C,2,FALSE),VLOOKUP(SUBSTITUTE(AP2," { }",""),DefaultProfile[#All],2,FALSE)),VLOOKUP(SUBSTITUTE(AP2," { }",""),ASM[[POLICY NAME WITH ASM PREFIX]:[PROFILE TYPE]],2,FALSE)),"")</f>
        <v/>
      </c>
      <c r="BA2" s="4" t="str">
        <f>IFERROR(IFERROR(IFERROR(VLOOKUP(SUBSTITUTE(AQ2," { }",""),ltmprofile!$B:$C,2,FALSE),VLOOKUP(SUBSTITUTE(AQ2," { }",""),DefaultProfile[#All],2,FALSE)),VLOOKUP(SUBSTITUTE(AQ2," { }",""),ASM[[POLICY NAME WITH ASM PREFIX]:[PROFILE TYPE]],2,FALSE)),"")</f>
        <v/>
      </c>
      <c r="BB2" s="4" t="str">
        <f>IFERROR(IFERROR(IFERROR(VLOOKUP(SUBSTITUTE(AR2," { }",""),ltmprofile!$B:$C,2,FALSE),VLOOKUP(SUBSTITUTE(AR2," { }",""),DefaultProfile[#All],2,FALSE)),VLOOKUP(SUBSTITUTE(AR2," { }",""),ASM[[POLICY NAME WITH ASM PREFIX]:[PROFILE TYPE]],2,FALSE)),"")</f>
        <v/>
      </c>
      <c r="BC2" s="4" t="str">
        <f>IFERROR(IFERROR(IFERROR(VLOOKUP(SUBSTITUTE(AS2," { }",""),ltmprofile!$B:$C,2,FALSE),VLOOKUP(SUBSTITUTE(AS2," { }",""),DefaultProfile[#All],2,FALSE)),VLOOKUP(SUBSTITUTE(AS2," { }",""),ASM[[POLICY NAME WITH ASM PREFIX]:[PROFILE TYPE]],2,FALSE)),"")</f>
        <v/>
      </c>
      <c r="BD2" s="4" t="str">
        <f>IFERROR(IFERROR(IFERROR(VLOOKUP(SUBSTITUTE(AT2," { }",""),ltmprofile!$B:$C,2,FALSE),VLOOKUP(SUBSTITUTE(AT2," { }",""),DefaultProfile[#All],2,FALSE)),VLOOKUP(SUBSTITUTE(AT2," { }",""),ASM[[POLICY NAME WITH ASM PREFIX]:[PROFILE TYPE]],2,FALSE)),"")</f>
        <v/>
      </c>
    </row>
  </sheetData>
  <pageMargins left="0.7" right="0.7" top="0.75" bottom="0.75" header="0.3" footer="0.3"/>
  <pageSetup paperSize="9" orientation="portrait"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9809-70B7-42CD-98CC-09213D1C737F}">
  <dimension ref="A1:I2"/>
  <sheetViews>
    <sheetView showGridLines="0" zoomScaleNormal="100" workbookViewId="0">
      <pane ySplit="1" topLeftCell="A2" activePane="bottomLeft" state="frozen"/>
      <selection pane="bottomLeft" activeCell="A2" sqref="A2"/>
    </sheetView>
  </sheetViews>
  <sheetFormatPr defaultColWidth="9.21875" defaultRowHeight="10.199999999999999" x14ac:dyDescent="0.2"/>
  <cols>
    <col min="1" max="1" width="42.21875" style="1" bestFit="1" customWidth="1"/>
    <col min="2" max="2" width="42.21875" style="1" customWidth="1"/>
    <col min="3" max="3" width="19.44140625" style="1" customWidth="1"/>
    <col min="4" max="4" width="12.21875" style="1" customWidth="1"/>
    <col min="5" max="6" width="9.21875" style="1" customWidth="1"/>
    <col min="7" max="7" width="12.21875" style="1" customWidth="1"/>
    <col min="8" max="8" width="17.44140625" style="1" customWidth="1"/>
    <col min="9" max="9" width="16.33203125" style="1" customWidth="1"/>
    <col min="10" max="16384" width="9.21875" style="1"/>
  </cols>
  <sheetData>
    <row r="1" spans="1:9" x14ac:dyDescent="0.2">
      <c r="A1" s="2" t="s">
        <v>0</v>
      </c>
      <c r="B1" s="3" t="s">
        <v>57</v>
      </c>
      <c r="C1" s="2" t="s">
        <v>23</v>
      </c>
      <c r="D1" s="2" t="s">
        <v>587</v>
      </c>
      <c r="E1" s="2" t="s">
        <v>588</v>
      </c>
      <c r="F1" s="2" t="s">
        <v>589</v>
      </c>
      <c r="G1" s="2" t="s">
        <v>590</v>
      </c>
      <c r="H1" s="2" t="s">
        <v>591</v>
      </c>
      <c r="I1" s="2" t="s">
        <v>592</v>
      </c>
    </row>
    <row r="2" spans="1:9" x14ac:dyDescent="0.2">
      <c r="B2" s="1" t="e">
        <f t="shared" ref="B2" si="0">LEFT(A2,LEN(A2)-1)&amp;" }"</f>
        <v>#VALUE!</v>
      </c>
      <c r="C2" s="1" t="e">
        <f>MID(A2,FIND("/",A2),FIND(" ",A2,FIND("/",A2))-FIND("/",A2))</f>
        <v>#VALUE!</v>
      </c>
      <c r="D2" s="1" t="e">
        <f t="shared" ref="D2:I2" si="1">MID($B2,FIND(D$1,$B2)+LEN(D$1),FIND(" ",$B2,FIND(D$1,$B2)+LEN(D$1))-FIND(D$1,$B2)-LEN(D$1))</f>
        <v>#VALUE!</v>
      </c>
      <c r="E2" s="1" t="e">
        <f t="shared" si="1"/>
        <v>#VALUE!</v>
      </c>
      <c r="F2" s="1" t="e">
        <f t="shared" si="1"/>
        <v>#VALUE!</v>
      </c>
      <c r="G2" s="1" t="e">
        <f t="shared" si="1"/>
        <v>#VALUE!</v>
      </c>
      <c r="H2" s="1" t="e">
        <f t="shared" si="1"/>
        <v>#VALUE!</v>
      </c>
      <c r="I2" s="1" t="e">
        <f t="shared" si="1"/>
        <v>#VALUE!</v>
      </c>
    </row>
  </sheetData>
  <pageMargins left="0.7" right="0.7" top="0.75" bottom="0.75" header="0.3" footer="0.3"/>
  <pageSetup paperSize="9" orientation="portrait" r:id="rId1"/>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F6D1D-CD74-458D-82E7-F4FA72D6ECC1}">
  <dimension ref="A1"/>
  <sheetViews>
    <sheetView workbookViewId="0"/>
  </sheetViews>
  <sheetFormatPr defaultRowHeight="14.4" x14ac:dyDescent="0.3"/>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3309-96DB-40D6-A455-032067385A17}">
  <dimension ref="A1:H2"/>
  <sheetViews>
    <sheetView showGridLines="0" workbookViewId="0">
      <selection activeCell="A2" sqref="A2"/>
    </sheetView>
  </sheetViews>
  <sheetFormatPr defaultColWidth="9.21875" defaultRowHeight="10.199999999999999" x14ac:dyDescent="0.2"/>
  <cols>
    <col min="1" max="5" width="40.77734375" style="1" customWidth="1"/>
    <col min="6" max="7" width="9" style="1" customWidth="1"/>
    <col min="8" max="8" width="44.21875" style="1" bestFit="1" customWidth="1"/>
    <col min="9" max="16384" width="9.21875" style="1"/>
  </cols>
  <sheetData>
    <row r="1" spans="1:8" x14ac:dyDescent="0.2">
      <c r="A1" s="1" t="s">
        <v>87</v>
      </c>
      <c r="B1" s="1" t="s">
        <v>88</v>
      </c>
      <c r="C1" s="1" t="s">
        <v>89</v>
      </c>
      <c r="D1" s="1" t="s">
        <v>371</v>
      </c>
      <c r="E1" s="1" t="s">
        <v>90</v>
      </c>
      <c r="F1" s="1" t="s">
        <v>372</v>
      </c>
      <c r="G1" s="1" t="s">
        <v>373</v>
      </c>
      <c r="H1" s="1" t="s">
        <v>91</v>
      </c>
    </row>
    <row r="2" spans="1:8" x14ac:dyDescent="0.2">
      <c r="F2" s="12"/>
      <c r="G2" s="12"/>
    </row>
  </sheetData>
  <pageMargins left="0.7" right="0.7" top="0.75" bottom="0.75" header="0.3" footer="0.3"/>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7CE7-2785-406F-A5E6-BE16D24ED477}">
  <dimension ref="A1:H2"/>
  <sheetViews>
    <sheetView showGridLines="0" workbookViewId="0">
      <selection activeCell="A2" sqref="A2"/>
    </sheetView>
  </sheetViews>
  <sheetFormatPr defaultColWidth="9.21875" defaultRowHeight="10.199999999999999" x14ac:dyDescent="0.2"/>
  <cols>
    <col min="1" max="5" width="40.77734375" style="1" customWidth="1"/>
    <col min="6" max="7" width="9" style="1" customWidth="1"/>
    <col min="8" max="8" width="44.21875" style="1" bestFit="1" customWidth="1"/>
    <col min="9" max="16384" width="9.21875" style="1"/>
  </cols>
  <sheetData>
    <row r="1" spans="1:8" x14ac:dyDescent="0.2">
      <c r="A1" s="1" t="s">
        <v>87</v>
      </c>
      <c r="B1" s="1" t="s">
        <v>88</v>
      </c>
      <c r="C1" s="1" t="s">
        <v>89</v>
      </c>
      <c r="D1" s="1" t="s">
        <v>371</v>
      </c>
      <c r="E1" s="1" t="s">
        <v>90</v>
      </c>
      <c r="F1" s="1" t="s">
        <v>372</v>
      </c>
      <c r="G1" s="1" t="s">
        <v>373</v>
      </c>
      <c r="H1" s="1" t="s">
        <v>91</v>
      </c>
    </row>
    <row r="2" spans="1:8" x14ac:dyDescent="0.2">
      <c r="F2" s="12"/>
      <c r="G2" s="12"/>
    </row>
  </sheetData>
  <pageMargins left="0.7" right="0.7" top="0.75" bottom="0.75" header="0.3" footer="0.3"/>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1865-CBF8-48CD-8DB7-727C94AAB27E}">
  <dimension ref="A1:D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3"/>
  <cols>
    <col min="1" max="1" width="77.5546875" style="4" customWidth="1"/>
    <col min="2" max="2" width="36.21875" style="4" customWidth="1"/>
    <col min="3" max="3" width="23.5546875" style="4" bestFit="1" customWidth="1"/>
    <col min="4" max="16384" width="9.21875" style="4"/>
  </cols>
  <sheetData>
    <row r="1" spans="1:4" x14ac:dyDescent="0.2">
      <c r="A1" s="2" t="s">
        <v>0</v>
      </c>
      <c r="B1" s="2" t="s">
        <v>295</v>
      </c>
      <c r="C1" s="2" t="s">
        <v>296</v>
      </c>
      <c r="D1" s="3"/>
    </row>
    <row r="2" spans="1:4" x14ac:dyDescent="0.3">
      <c r="B2" s="4" t="e">
        <f t="shared" ref="B2" si="0">SUBSTITUTE(A2,"}"," }",LEN(A2)-(LEN(SUBSTITUTE(A2,"}",""))))</f>
        <v>#VALUE!</v>
      </c>
      <c r="C2" s="4" t="e">
        <f>MID(A2,FIND("gtm datacenter ",A2)+15,FIND(" ",A2,FIND("gtm datacenter ",A2)+15)-FIND("gtm datacenter ",A2)-15)</f>
        <v>#VALUE!</v>
      </c>
    </row>
  </sheetData>
  <pageMargins left="0.7" right="0.7" top="0.75" bottom="0.75" header="0.3" footer="0.3"/>
  <pageSetup paperSize="9" orientation="portrait" r:id="rId1"/>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6BDF-3BE6-4516-8DE0-F6BBC9D3A755}">
  <dimension ref="A1:F2"/>
  <sheetViews>
    <sheetView showGridLines="0" workbookViewId="0">
      <pane ySplit="1" topLeftCell="A2" activePane="bottomLeft" state="frozen"/>
      <selection activeCell="B1" sqref="B1"/>
      <selection pane="bottomLeft" sqref="A1:E2"/>
    </sheetView>
  </sheetViews>
  <sheetFormatPr defaultColWidth="9.21875" defaultRowHeight="10.199999999999999" x14ac:dyDescent="0.3"/>
  <cols>
    <col min="1" max="1" width="77.5546875" style="4" customWidth="1"/>
    <col min="2" max="2" width="36.21875" style="4" customWidth="1"/>
    <col min="3" max="3" width="43.21875" style="4" bestFit="1" customWidth="1"/>
    <col min="4" max="4" width="69.21875" style="9" bestFit="1" customWidth="1"/>
    <col min="5" max="5" width="19.77734375" style="4" customWidth="1"/>
    <col min="6" max="16384" width="9.21875" style="4"/>
  </cols>
  <sheetData>
    <row r="1" spans="1:6" x14ac:dyDescent="0.2">
      <c r="A1" s="2" t="s">
        <v>0</v>
      </c>
      <c r="B1" s="2" t="s">
        <v>295</v>
      </c>
      <c r="C1" s="10" t="s">
        <v>386</v>
      </c>
      <c r="D1" s="10" t="s">
        <v>328</v>
      </c>
      <c r="E1" s="2" t="s">
        <v>40</v>
      </c>
      <c r="F1" s="3"/>
    </row>
    <row r="2" spans="1:6" x14ac:dyDescent="0.3">
      <c r="B2" s="4" t="e">
        <f t="shared" ref="B2" si="0">SUBSTITUTE(A2,"}"," }",LEN(A2)-(LEN(SUBSTITUTE(A2,"}",""))))</f>
        <v>#VALUE!</v>
      </c>
      <c r="C2" s="4" t="e">
        <f>MID($B2,FIND(C$1,$B2)+LEN(C$1),FIND(" ",$B2,FIND(C$1,$B2)+LEN(C$1))-FIND(C$1,$B2)-LEN(C$1))</f>
        <v>#VALUE!</v>
      </c>
      <c r="D2" s="9" t="e">
        <f>SUBSTITUTE(MID(A2,FIND(" members { ",A2)+11,FIND("} }",A2,FIND(" members { ",A2)+11)-FIND(" members { ",A2)-11),"} /","}"&amp;CHAR(10)&amp;"/")</f>
        <v>#VALUE!</v>
      </c>
      <c r="E2" s="4" t="e">
        <f t="shared" ref="E2" si="1">LEN(D2)-LEN(SUBSTITUTE(D2,"order","orde"))</f>
        <v>#VALUE!</v>
      </c>
    </row>
  </sheetData>
  <conditionalFormatting sqref="E2">
    <cfRule type="dataBar" priority="1">
      <dataBar>
        <cfvo type="min"/>
        <cfvo type="max"/>
        <color rgb="FF638EC6"/>
      </dataBar>
      <extLst>
        <ext xmlns:x14="http://schemas.microsoft.com/office/spreadsheetml/2009/9/main" uri="{B025F937-C7B1-47D3-B67F-A62EFF666E3E}">
          <x14:id>{ED6E2649-03AE-492E-B0A7-8BDA953ECAC2}</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D6E2649-03AE-492E-B0A7-8BDA953ECAC2}">
            <x14:dataBar minLength="0" maxLength="100" gradient="0">
              <x14:cfvo type="autoMin"/>
              <x14:cfvo type="autoMax"/>
              <x14:negativeFillColor rgb="FFFF0000"/>
              <x14:axisColor rgb="FF000000"/>
            </x14:dataBar>
          </x14:cfRule>
          <xm:sqref>E2</xm:sqref>
        </x14:conditionalFormatting>
      </x14:conditionalFormatting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1BB5-4674-4B83-8279-A773882FD7A9}">
  <dimension ref="A1:F2"/>
  <sheetViews>
    <sheetView showGridLines="0" workbookViewId="0">
      <pane ySplit="1" topLeftCell="A2" activePane="bottomLeft" state="frozen"/>
      <selection activeCell="B1" sqref="B1"/>
      <selection pane="bottomLeft" activeCell="D1" sqref="D1:E1"/>
    </sheetView>
  </sheetViews>
  <sheetFormatPr defaultColWidth="9.21875" defaultRowHeight="10.199999999999999" x14ac:dyDescent="0.3"/>
  <cols>
    <col min="1" max="1" width="77.5546875" style="4" customWidth="1"/>
    <col min="2" max="2" width="36.21875" style="4" customWidth="1"/>
    <col min="3" max="3" width="43.21875" style="4" bestFit="1" customWidth="1"/>
    <col min="4" max="4" width="69.21875" style="9" bestFit="1" customWidth="1"/>
    <col min="5" max="5" width="19.77734375" style="4" customWidth="1"/>
    <col min="6" max="16384" width="9.21875" style="4"/>
  </cols>
  <sheetData>
    <row r="1" spans="1:6" x14ac:dyDescent="0.2">
      <c r="A1" s="2" t="s">
        <v>0</v>
      </c>
      <c r="B1" s="2" t="s">
        <v>295</v>
      </c>
      <c r="C1" s="10" t="s">
        <v>414</v>
      </c>
      <c r="D1" s="10" t="s">
        <v>415</v>
      </c>
      <c r="E1" s="2" t="s">
        <v>416</v>
      </c>
      <c r="F1" s="3"/>
    </row>
    <row r="2" spans="1:6" x14ac:dyDescent="0.3">
      <c r="B2" s="4" t="e">
        <f t="shared" ref="B2" si="0">SUBSTITUTE(A2,"}"," }",LEN(A2)-(LEN(SUBSTITUTE(A2,"}",""))))</f>
        <v>#VALUE!</v>
      </c>
      <c r="C2" s="4" t="e">
        <f>MID($B2,FIND(C$1,$B2)+LEN(C$1)+1,FIND(CHAR(34),$B2,FIND(C$1,$B2)+LEN(C$1)+1)-FIND(C$1,$B2)-LEN(C$1)-1)</f>
        <v>#VALUE!</v>
      </c>
      <c r="D2" s="9" t="e">
        <f>SUBSTITUTE(MID(A2,FIND(" region-members { ",A2)+18,FIND("} }",A2,FIND(" region-members { ",A2)+18)-FIND(" region-members { ",A2)-18),"} s","}"&amp;CHAR(10)&amp;"s")</f>
        <v>#VALUE!</v>
      </c>
      <c r="E2" s="4" t="e">
        <f>LEN(D2)-LEN(SUBSTITUTE(D2,"subnet","subne"))</f>
        <v>#VALUE!</v>
      </c>
    </row>
  </sheetData>
  <conditionalFormatting sqref="E2">
    <cfRule type="dataBar" priority="1">
      <dataBar>
        <cfvo type="min"/>
        <cfvo type="max"/>
        <color rgb="FF638EC6"/>
      </dataBar>
      <extLst>
        <ext xmlns:x14="http://schemas.microsoft.com/office/spreadsheetml/2009/9/main" uri="{B025F937-C7B1-47D3-B67F-A62EFF666E3E}">
          <x14:id>{8F96E429-26F6-4D3A-A633-B8397DB9A148}</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F96E429-26F6-4D3A-A633-B8397DB9A148}">
            <x14:dataBar minLength="0" maxLength="100" gradient="0">
              <x14:cfvo type="autoMin"/>
              <x14:cfvo type="autoMax"/>
              <x14:negativeFillColor rgb="FFFF0000"/>
              <x14:axisColor rgb="FF000000"/>
            </x14:dataBar>
          </x14:cfRule>
          <xm:sqref>E2</xm:sqref>
        </x14:conditionalFormatting>
      </x14:conditionalFormatting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A0F2-F123-4F66-8B10-7667EC7695CB}">
  <dimension ref="A1:K2"/>
  <sheetViews>
    <sheetView showGridLines="0" workbookViewId="0">
      <pane ySplit="1" topLeftCell="A2" activePane="bottomLeft" state="frozen"/>
      <selection activeCell="B1" sqref="B1"/>
      <selection pane="bottomLeft" activeCell="A2" sqref="A1:A2"/>
    </sheetView>
  </sheetViews>
  <sheetFormatPr defaultColWidth="9.21875" defaultRowHeight="10.199999999999999" x14ac:dyDescent="0.3"/>
  <cols>
    <col min="1" max="1" width="77.5546875" style="4" customWidth="1"/>
    <col min="2" max="2" width="36.21875" style="4" customWidth="1"/>
    <col min="3" max="3" width="21.44140625" style="4" bestFit="1" customWidth="1"/>
    <col min="4" max="4" width="11.77734375" style="4" bestFit="1" customWidth="1"/>
    <col min="5" max="5" width="21.5546875" style="4" customWidth="1"/>
    <col min="6" max="6" width="11.44140625" style="4" bestFit="1" customWidth="1"/>
    <col min="7" max="7" width="9.5546875" style="4" bestFit="1" customWidth="1"/>
    <col min="8" max="8" width="22.21875" style="4" bestFit="1" customWidth="1"/>
    <col min="9" max="9" width="85.21875" style="4" customWidth="1"/>
    <col min="10" max="10" width="19.77734375" style="4" customWidth="1"/>
    <col min="11" max="16384" width="9.21875" style="4"/>
  </cols>
  <sheetData>
    <row r="1" spans="1:11" x14ac:dyDescent="0.2">
      <c r="A1" s="2" t="s">
        <v>0</v>
      </c>
      <c r="B1" s="2" t="s">
        <v>295</v>
      </c>
      <c r="C1" s="2" t="s">
        <v>297</v>
      </c>
      <c r="D1" s="10" t="s">
        <v>298</v>
      </c>
      <c r="E1" s="10" t="s">
        <v>299</v>
      </c>
      <c r="F1" s="10" t="s">
        <v>38</v>
      </c>
      <c r="G1" s="10" t="s">
        <v>300</v>
      </c>
      <c r="H1" s="10" t="s">
        <v>301</v>
      </c>
      <c r="I1" s="2" t="s">
        <v>302</v>
      </c>
      <c r="J1" s="2" t="s">
        <v>303</v>
      </c>
      <c r="K1" s="3"/>
    </row>
    <row r="2" spans="1:11" x14ac:dyDescent="0.3">
      <c r="B2" s="4" t="e">
        <f t="shared" ref="B2" si="0">SUBSTITUTE(A2,"}"," }",LEN(A2)-(LEN(SUBSTITUTE(A2,"}",""))))</f>
        <v>#VALUE!</v>
      </c>
      <c r="C2" s="4" t="e">
        <f>MID(A2,FIND("gtm server ",A2)+11,FIND(" ",A2,FIND("gtm server ",A2)+11)-FIND("gtm server ",A2)-11)</f>
        <v>#VALUE!</v>
      </c>
      <c r="D2" s="4" t="e">
        <f>MID(A2,FIND("datacenter ",A2)+11,FIND(" ",A2,FIND("datacenter ",A2)+11)-FIND("datacenter ",A2)-11)</f>
        <v>#VALUE!</v>
      </c>
      <c r="E2" s="4" t="e">
        <f>MID(B2,FIND("devices { ",B2)+10,FIND(" } }",B2,FIND("devices { ",B2)+10)-FIND("devices { ",B2)-10)</f>
        <v>#VALUE!</v>
      </c>
      <c r="F2" s="4" t="e">
        <f>MID(A2,FIND("monitor ",A2)+8,FIND(" ",A2,FIND("monitor ",A2)+8)-FIND("monitor ",A2)-8)</f>
        <v>#VALUE!</v>
      </c>
      <c r="G2" s="4" t="str">
        <f>IFERROR(MID(B2,FIND("product ",B2)+8,FIND(" ",B2,FIND("product ",B2)+8)-FIND("product ",B2)-8),"")</f>
        <v/>
      </c>
      <c r="H2" s="4" t="str">
        <f>IFERROR(MID(A2,FIND("virtual-server-discovery ",A2)+25,FIND(" ",A2,FIND("virtual-server-discovery ",A2)+25)-FIND("virtual-server-discovery ",A2)-25),"")</f>
        <v/>
      </c>
      <c r="I2" s="4" t="str">
        <f>IFERROR(MID(A2,FIND("virtual-servers { ",A2)+18,FIND("} }}",A2,FIND("virtual-servers { ",A2)+18)-FIND("virtual-servers { ",A2)-18),"")</f>
        <v/>
      </c>
      <c r="J2" s="4">
        <f>LEN(I2)-LEN(SUBSTITUTE(I2,"destination","destinatio"))</f>
        <v>0</v>
      </c>
    </row>
  </sheetData>
  <conditionalFormatting sqref="J2">
    <cfRule type="dataBar" priority="1">
      <dataBar>
        <cfvo type="min"/>
        <cfvo type="max"/>
        <color rgb="FF638EC6"/>
      </dataBar>
      <extLst>
        <ext xmlns:x14="http://schemas.microsoft.com/office/spreadsheetml/2009/9/main" uri="{B025F937-C7B1-47D3-B67F-A62EFF666E3E}">
          <x14:id>{78024EDA-0C02-42EA-A3BC-E540389A08A4}</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8024EDA-0C02-42EA-A3BC-E540389A08A4}">
            <x14:dataBar minLength="0" maxLength="100" gradient="0">
              <x14:cfvo type="autoMin"/>
              <x14:cfvo type="autoMax"/>
              <x14:negativeFillColor rgb="FFFF0000"/>
              <x14:axisColor rgb="FF000000"/>
            </x14:dataBar>
          </x14:cfRule>
          <xm:sqref>J2</xm:sqref>
        </x14:conditionalFormatting>
      </x14:conditionalFormatting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B555-EB60-4030-9BDE-A1FC1FFCADF6}">
  <dimension ref="A1:E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3"/>
  <cols>
    <col min="1" max="1" width="68.21875" style="4" bestFit="1" customWidth="1"/>
    <col min="2" max="2" width="36.21875" style="4" customWidth="1"/>
    <col min="3" max="3" width="21.5546875" style="4" bestFit="1" customWidth="1"/>
    <col min="4" max="4" width="32.77734375" style="4" bestFit="1" customWidth="1"/>
    <col min="5" max="16384" width="9.21875" style="4"/>
  </cols>
  <sheetData>
    <row r="1" spans="1:5" x14ac:dyDescent="0.2">
      <c r="A1" s="2" t="s">
        <v>0</v>
      </c>
      <c r="B1" s="2" t="s">
        <v>295</v>
      </c>
      <c r="C1" s="10" t="s">
        <v>326</v>
      </c>
      <c r="D1" s="10" t="s">
        <v>327</v>
      </c>
      <c r="E1" s="3"/>
    </row>
    <row r="2" spans="1:5" x14ac:dyDescent="0.3">
      <c r="B2" s="4" t="e">
        <f t="shared" ref="B2" si="0">SUBSTITUTE(A2,"}"," }",LEN(A2)-(LEN(SUBSTITUTE(A2,"}",""))))</f>
        <v>#VALUE!</v>
      </c>
      <c r="C2" s="4" t="e">
        <f>MID(A2,FIND(" ldns: ",A2)+7,FIND(" server:",A2,FIND(" ldns: ",A2)+7)-FIND(" ldns: ",A2)-7)</f>
        <v>#VALUE!</v>
      </c>
      <c r="D2" s="4" t="e">
        <f>MID(A2,FIND(" server: ",A2)+9,FIND("}",A2,FIND(" server: ",A2)+9)-FIND(" server: ",A2)-9)</f>
        <v>#VALUE!</v>
      </c>
    </row>
  </sheetData>
  <pageMargins left="0.7" right="0.7" top="0.75" bottom="0.75" header="0.3" footer="0.3"/>
  <pageSetup paperSize="9" orientation="portrait" r:id="rId1"/>
  <tableParts count="1">
    <tablePart r:id="rId2"/>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6590B-B952-481B-9284-30C569BECB63}">
  <dimension ref="A1:E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3"/>
  <cols>
    <col min="1" max="1" width="68.21875" style="4" bestFit="1" customWidth="1"/>
    <col min="2" max="2" width="36.21875" style="4" customWidth="1"/>
    <col min="3" max="3" width="21.5546875" style="4" bestFit="1" customWidth="1"/>
    <col min="4" max="4" width="32.77734375" style="4" bestFit="1" customWidth="1"/>
    <col min="5" max="16384" width="9.21875" style="4"/>
  </cols>
  <sheetData>
    <row r="1" spans="1:5" x14ac:dyDescent="0.2">
      <c r="A1" s="2" t="s">
        <v>0</v>
      </c>
      <c r="B1" s="2" t="s">
        <v>295</v>
      </c>
      <c r="C1" s="10" t="s">
        <v>387</v>
      </c>
      <c r="D1" s="10" t="s">
        <v>388</v>
      </c>
      <c r="E1" s="3"/>
    </row>
    <row r="2" spans="1:5" x14ac:dyDescent="0.3">
      <c r="B2" s="4" t="e">
        <f t="shared" ref="B2" si="0">SUBSTITUTE(A2,"}"," }",LEN(A2)-(LEN(SUBSTITUTE(A2,"}",""))))</f>
        <v>#VALUE!</v>
      </c>
      <c r="C2" s="4" t="e">
        <f>MID($B2,FIND(C$1,$B2)+LEN(C$1),FIND(" ",$B2,FIND(C$1,$B2)+LEN(C$1))-FIND(C$1,$B2)-LEN(C$1))</f>
        <v>#VALUE!</v>
      </c>
      <c r="D2" s="4" t="e">
        <f>MID($B2,FIND(D$1,$B2)+LEN(D$1),FIND(" ",$B2,FIND(D$1,$B2)+LEN(D$1))-FIND(D$1,$B2)-LEN(D$1))</f>
        <v>#VALUE!</v>
      </c>
    </row>
  </sheetData>
  <pageMargins left="0.7" right="0.7" top="0.75" bottom="0.75" header="0.3" footer="0.3"/>
  <pageSetup paperSize="9" orientation="portrait" r:id="rId1"/>
  <tableParts count="1">
    <tablePart r:id="rId2"/>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0571-C919-4B07-99C2-9B6A46F12C27}">
  <dimension ref="A1:N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2"/>
  <cols>
    <col min="1" max="1" width="77.5546875" style="4" customWidth="1"/>
    <col min="2" max="2" width="36.21875" style="4" customWidth="1"/>
    <col min="3" max="3" width="13.21875" style="4" bestFit="1" customWidth="1"/>
    <col min="4" max="4" width="24.5546875" style="4" bestFit="1" customWidth="1"/>
    <col min="5" max="5" width="21.5546875" style="4" customWidth="1"/>
    <col min="6" max="6" width="13.5546875" style="4" bestFit="1" customWidth="1"/>
    <col min="7" max="7" width="11.77734375" style="4" bestFit="1" customWidth="1"/>
    <col min="8" max="8" width="12" style="4" bestFit="1" customWidth="1"/>
    <col min="9" max="9" width="9.77734375" style="1" bestFit="1" customWidth="1"/>
    <col min="10" max="10" width="11.44140625" style="1" bestFit="1" customWidth="1"/>
    <col min="11" max="11" width="11.44140625" style="1" customWidth="1"/>
    <col min="12" max="12" width="67.77734375" style="1" bestFit="1" customWidth="1"/>
    <col min="13" max="13" width="9.21875" style="1" bestFit="1" customWidth="1"/>
    <col min="14" max="16384" width="9.21875" style="4"/>
  </cols>
  <sheetData>
    <row r="1" spans="1:14" x14ac:dyDescent="0.2">
      <c r="A1" s="2" t="s">
        <v>0</v>
      </c>
      <c r="B1" s="2" t="s">
        <v>295</v>
      </c>
      <c r="C1" s="2" t="s">
        <v>316</v>
      </c>
      <c r="D1" s="10" t="s">
        <v>54</v>
      </c>
      <c r="E1" s="10" t="s">
        <v>317</v>
      </c>
      <c r="F1" s="10" t="s">
        <v>318</v>
      </c>
      <c r="G1" s="10" t="s">
        <v>319</v>
      </c>
      <c r="H1" s="2" t="s">
        <v>320</v>
      </c>
      <c r="I1" s="2" t="s">
        <v>321</v>
      </c>
      <c r="J1" s="2" t="s">
        <v>322</v>
      </c>
      <c r="K1" s="2" t="s">
        <v>323</v>
      </c>
      <c r="L1" s="2" t="s">
        <v>324</v>
      </c>
      <c r="M1" s="2" t="s">
        <v>325</v>
      </c>
      <c r="N1" s="3"/>
    </row>
    <row r="2" spans="1:14" x14ac:dyDescent="0.3">
      <c r="B2" s="4" t="e">
        <f t="shared" ref="B2" si="0">SUBSTITUTE(A2,"}"," }",LEN(A2)-(LEN(SUBSTITUTE(A2,"}",""))))</f>
        <v>#VALUE!</v>
      </c>
      <c r="C2" s="4" t="e">
        <f>MID(A2,FIND("gtm monitor ",A2)+12,FIND(" ",A2,FIND("gtm monitor ",A2)+12)-FIND("gtm monitor ",A2)-12)</f>
        <v>#VALUE!</v>
      </c>
      <c r="D2" s="4" t="e">
        <f>MID(A2,FIND(" https ",A2)+7,FIND(" ",A2,FIND(" https ",A2)+7)-FIND(" https ",A2)-7)</f>
        <v>#VALUE!</v>
      </c>
      <c r="E2" s="4" t="e">
        <f>MID(A2,FIND(" cipherlist ",A2)+12,FIND(" ",A2,FIND(" cipherlist ",A2)+12)-FIND(" cipherlist ",A2)-12)</f>
        <v>#VALUE!</v>
      </c>
      <c r="F2" s="4" t="e">
        <f>MID(A2,FIND(" compatibility ",A2)+15,FIND(" ",A2,FIND(" compatibility ",A2)+15)-FIND(" compatibility ",A2)-15)</f>
        <v>#VALUE!</v>
      </c>
      <c r="G2" s="4" t="e">
        <f>MID(A2,FIND(" defaults-from ",A2)+15,FIND(" ",A2,FIND(" defaults-from ",A2)+15)-FIND(" defaults-from ",A2)-15)</f>
        <v>#VALUE!</v>
      </c>
      <c r="H2" s="4" t="e">
        <f>MID(A2,FIND(" destination ",A2)+13,FIND(" ",A2,FIND(" destination ",A2)+13)-FIND(" destination ",A2)-13)</f>
        <v>#VALUE!</v>
      </c>
      <c r="I2" s="4" t="e">
        <f>MID(A2,FIND(" interval ",A2)+10,FIND(" ",A2,FIND(" interval ",A2)+10)-FIND(" interval ",A2)-10)</f>
        <v>#VALUE!</v>
      </c>
      <c r="J2" s="4" t="e">
        <f>MID(A2,FIND(" probe-timeout ",A2)+15,FIND(" ",A2,FIND(" probe-timeout ",A2)+15)-FIND(" probe-timeout ",A2)-15)</f>
        <v>#VALUE!</v>
      </c>
      <c r="K2" s="4" t="e">
        <f>MID(A2,FIND(" recv ",A2)+6,FIND(" send ",A2,FIND(" recv ",A2)+6)-FIND(" recv ",A2)-6)</f>
        <v>#VALUE!</v>
      </c>
      <c r="L2" s="4" t="e">
        <f>IFERROR(MID(A2,FIND(" send ",A2)+6,FIND((CHAR(34)&amp;" "),A2,FIND(" send ",A2)+6)-FIND(" send ",A2)-6),MID(A2,FIND(" send ",A2)+6,FIND(" ",A2,FIND(" send ",A2)+6)-FIND(" send ",A2)-6))</f>
        <v>#VALUE!</v>
      </c>
      <c r="M2" s="4" t="e">
        <f>MID(B2,FIND(" timeout ",B2)+9,FIND(" ",B2,FIND(" timeout ",B2)+9)-FIND(" timeout ",B2)-9)</f>
        <v>#VALUE!</v>
      </c>
    </row>
  </sheetData>
  <pageMargins left="0.7" right="0.7" top="0.75" bottom="0.75" header="0.3" footer="0.3"/>
  <pageSetup paperSize="9" orientation="portrait"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714F-ADC2-4190-9F79-6AA2802ACC6C}">
  <dimension ref="A1:M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2"/>
  <cols>
    <col min="1" max="1" width="77.5546875" style="4" customWidth="1"/>
    <col min="2" max="2" width="36.21875" style="4" customWidth="1"/>
    <col min="3" max="3" width="23.5546875" style="4" bestFit="1" customWidth="1"/>
    <col min="4" max="4" width="43.21875" style="4" bestFit="1" customWidth="1"/>
    <col min="5" max="7" width="23.77734375" style="4" bestFit="1" customWidth="1"/>
    <col min="8" max="8" width="21.5546875" style="4" customWidth="1"/>
    <col min="9" max="9" width="21.5546875" style="4" bestFit="1" customWidth="1"/>
    <col min="10" max="10" width="34.44140625" style="1" bestFit="1" customWidth="1"/>
    <col min="11" max="11" width="69.21875" style="9" bestFit="1" customWidth="1"/>
    <col min="12" max="12" width="19.77734375" style="4" customWidth="1"/>
    <col min="13" max="16384" width="9.21875" style="4"/>
  </cols>
  <sheetData>
    <row r="1" spans="1:13" ht="20.399999999999999" x14ac:dyDescent="0.2">
      <c r="A1" s="2" t="s">
        <v>0</v>
      </c>
      <c r="B1" s="2" t="s">
        <v>295</v>
      </c>
      <c r="C1" s="2" t="s">
        <v>310</v>
      </c>
      <c r="D1" s="10" t="s">
        <v>36</v>
      </c>
      <c r="E1" s="10" t="s">
        <v>311</v>
      </c>
      <c r="F1" s="10" t="s">
        <v>312</v>
      </c>
      <c r="G1" s="10" t="s">
        <v>313</v>
      </c>
      <c r="H1" s="10" t="s">
        <v>314</v>
      </c>
      <c r="I1" s="2" t="s">
        <v>315</v>
      </c>
      <c r="J1" s="2" t="s">
        <v>38</v>
      </c>
      <c r="K1" s="10" t="s">
        <v>328</v>
      </c>
      <c r="L1" s="2" t="s">
        <v>40</v>
      </c>
      <c r="M1" s="3"/>
    </row>
    <row r="2" spans="1:13" x14ac:dyDescent="0.3">
      <c r="B2" s="4" t="e">
        <f t="shared" ref="B2" si="0">SUBSTITUTE(A2,"}"," }",LEN(A2)-(LEN(SUBSTITUTE(A2,"}",""))))</f>
        <v>#VALUE!</v>
      </c>
      <c r="C2" s="4" t="e">
        <f>MID(A2,FIND(" pool ",A2)+6,FIND(" ",A2,FIND(" pool ",A2)+6)-FIND(" pool ",A2)-6)</f>
        <v>#VALUE!</v>
      </c>
      <c r="D2" s="4" t="e">
        <f>MID(A2,FIND(" a ",A2)+3,FIND(" ",A2,FIND(" a ",A2)+3)-FIND(" a ",A2)-3)</f>
        <v>#VALUE!</v>
      </c>
      <c r="E2" s="4" t="str">
        <f>IFERROR(MID(A2,FIND(" load-balancing-mode ",A2)+21,FIND(" ",A2,FIND(" load-balancing-mode ",A2)+21)-FIND(" load-balancing-mode ",A2)-21),"round-robin")</f>
        <v>round-robin</v>
      </c>
      <c r="F2" s="4" t="str">
        <f>IFERROR(MID(A2,FIND(" alternate-mode ",A2)+16,FIND(" ",A2,FIND(" alternate-mode ",A2)+16)-FIND(" alternate-mode ",A2)-16),"round-robin")</f>
        <v>round-robin</v>
      </c>
      <c r="G2" s="4" t="str">
        <f>IFERROR(MID(A2,FIND(" fallback-mode ",A2)+15,FIND(" ",A2,FIND(" fallback-mode ",A2)+15)-FIND(" fallback-mode ",A2)-15),"return-to-dns")</f>
        <v>return-to-dns</v>
      </c>
      <c r="H2" s="4" t="str">
        <f>IFERROR(MID(A2,FIND(" fallback-ip ",A2)+13,FIND(" ",A2,FIND(" fallback-ip ",A2)+13)-FIND(" fallback-ip ",A2)-13),"0.0.0.0")</f>
        <v>0.0.0.0</v>
      </c>
      <c r="I2" s="4" t="str">
        <f>IFERROR(MID(A2,FIND(" ttl ",A2)+5,FIND(" ",A2,FIND(" ttl ",A2)+5)-FIND(" ttl ",A2)-5),"")</f>
        <v/>
      </c>
      <c r="J2" s="4" t="str">
        <f>IFERROR(MID(B2,FIND(" monitor ",B2)+9,FIND(" ",B2,FIND(" monitor ",B2)+9)-FIND(" monitor ",B2)-9),"")</f>
        <v/>
      </c>
      <c r="K2" s="9" t="e">
        <f>SUBSTITUTE(MID(A2,FIND(" members { ",A2)+11,FIND("} }",A2,FIND(" members { ",A2)+11)-FIND(" members { ",A2)-11),"} /","}"&amp;CHAR(10)&amp;"/")</f>
        <v>#VALUE!</v>
      </c>
      <c r="L2" s="4" t="e">
        <f t="shared" ref="L2" si="1">LEN(K2)-LEN(SUBSTITUTE(K2,"order","orde"))</f>
        <v>#VALUE!</v>
      </c>
    </row>
  </sheetData>
  <conditionalFormatting sqref="L2">
    <cfRule type="dataBar" priority="1">
      <dataBar>
        <cfvo type="min"/>
        <cfvo type="max"/>
        <color rgb="FF638EC6"/>
      </dataBar>
      <extLst>
        <ext xmlns:x14="http://schemas.microsoft.com/office/spreadsheetml/2009/9/main" uri="{B025F937-C7B1-47D3-B67F-A62EFF666E3E}">
          <x14:id>{0C479612-77AF-4615-BDEA-EF24B365CD8F}</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C479612-77AF-4615-BDEA-EF24B365CD8F}">
            <x14:dataBar minLength="0" maxLength="100" gradient="0">
              <x14:cfvo type="autoMin"/>
              <x14:cfvo type="autoMax"/>
              <x14:negativeFillColor rgb="FFFF0000"/>
              <x14:axisColor rgb="FF000000"/>
            </x14:dataBar>
          </x14:cfRule>
          <xm:sqref>L2</xm:sqref>
        </x14:conditionalFormatting>
      </x14:conditionalFormatting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DC4F-2C61-41CC-A80C-DBE52FF171B2}">
  <dimension ref="A1:J2"/>
  <sheetViews>
    <sheetView showGridLines="0" workbookViewId="0">
      <pane ySplit="1" topLeftCell="A2" activePane="bottomLeft" state="frozen"/>
      <selection activeCell="B1" sqref="B1"/>
      <selection pane="bottomLeft" activeCell="A2" sqref="A2"/>
    </sheetView>
  </sheetViews>
  <sheetFormatPr defaultColWidth="9.21875" defaultRowHeight="10.199999999999999" x14ac:dyDescent="0.2"/>
  <cols>
    <col min="1" max="1" width="77.5546875" style="4" customWidth="1"/>
    <col min="2" max="2" width="36.21875" style="4" customWidth="1"/>
    <col min="3" max="3" width="9.77734375" style="4" bestFit="1" customWidth="1"/>
    <col min="4" max="4" width="39.44140625" style="4" bestFit="1" customWidth="1"/>
    <col min="5" max="5" width="9.5546875" style="4" bestFit="1" customWidth="1"/>
    <col min="6" max="6" width="23.21875" style="4" bestFit="1" customWidth="1"/>
    <col min="7" max="7" width="15.77734375" style="1" bestFit="1" customWidth="1"/>
    <col min="8" max="8" width="49.5546875" style="4" bestFit="1" customWidth="1"/>
    <col min="9" max="9" width="19.77734375" style="4" customWidth="1"/>
    <col min="10" max="16384" width="9.21875" style="4"/>
  </cols>
  <sheetData>
    <row r="1" spans="1:10" x14ac:dyDescent="0.2">
      <c r="A1" s="2" t="s">
        <v>0</v>
      </c>
      <c r="B1" s="2" t="s">
        <v>295</v>
      </c>
      <c r="C1" s="2" t="s">
        <v>304</v>
      </c>
      <c r="D1" s="2" t="s">
        <v>305</v>
      </c>
      <c r="E1" s="2" t="s">
        <v>306</v>
      </c>
      <c r="F1" s="2" t="s">
        <v>307</v>
      </c>
      <c r="G1" s="2" t="s">
        <v>308</v>
      </c>
      <c r="H1" s="2" t="s">
        <v>7</v>
      </c>
      <c r="I1" s="2" t="s">
        <v>309</v>
      </c>
      <c r="J1" s="3"/>
    </row>
    <row r="2" spans="1:10" x14ac:dyDescent="0.3">
      <c r="B2" s="4" t="e">
        <f t="shared" ref="B2" si="0">SUBSTITUTE(A2,"}"," }",LEN(A2)-(LEN(SUBSTITUTE(A2,"}",""))))</f>
        <v>#VALUE!</v>
      </c>
      <c r="C2" s="4" t="e">
        <f>MID(A2,FIND("wideip ",A2)+7,FIND(" ",A2,FIND("wideip ",A2)+7)-FIND("wideip ",A2)-7)</f>
        <v>#VALUE!</v>
      </c>
      <c r="D2" s="4" t="e">
        <f>MID(A2,FIND(" a ",A2)+3,FIND(" ",A2,FIND(" a ",A2)+3)-FIND(" a ",A2)-3)</f>
        <v>#VALUE!</v>
      </c>
      <c r="E2" s="4" t="str">
        <f>IFERROR(MID(A2,FIND(" persistence ",A2)+13,FIND(" ",A2,FIND(" persistence ",A2)+13)-FIND(" persistence ",A2)-13),"")</f>
        <v/>
      </c>
      <c r="F2" s="4" t="str">
        <f>IFERROR(MID(A2,FIND(" pool-lb-mode ",A2)+14,FIND(" ",A2,FIND(" pool-lb-mode ",A2)+14)-FIND(" pool-lb-mode ",A2)-14),"")</f>
        <v/>
      </c>
      <c r="G2" s="4" t="str">
        <f>IFERROR(MID(A2,FIND(" ttl-persistence ",A2)+17,FIND(" ",A2,FIND(" ttl-persistence ",A2)+17)-FIND(" ttl-persistence ",A2)-17),"")</f>
        <v/>
      </c>
      <c r="H2" s="4" t="e">
        <f>MID(A2,FIND(" pools { ",A2)+9,FIND("} }",A2,FIND(" pools { ",A2)+9)-FIND(" pools { ",A2)-9)</f>
        <v>#VALUE!</v>
      </c>
      <c r="I2" s="4" t="e">
        <f t="shared" ref="I2" si="1">LEN(H2)-LEN(SUBSTITUTE(H2,"order","orde"))</f>
        <v>#VALUE!</v>
      </c>
    </row>
  </sheetData>
  <conditionalFormatting sqref="I2">
    <cfRule type="dataBar" priority="1">
      <dataBar>
        <cfvo type="min"/>
        <cfvo type="max"/>
        <color rgb="FF638EC6"/>
      </dataBar>
      <extLst>
        <ext xmlns:x14="http://schemas.microsoft.com/office/spreadsheetml/2009/9/main" uri="{B025F937-C7B1-47D3-B67F-A62EFF666E3E}">
          <x14:id>{6A142379-F9DD-495E-968B-018DA8BF9056}</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A142379-F9DD-495E-968B-018DA8BF9056}">
            <x14:dataBar minLength="0" maxLength="100" gradient="0">
              <x14:cfvo type="autoMin"/>
              <x14:cfvo type="autoMax"/>
              <x14:negativeFillColor rgb="FFFF0000"/>
              <x14:axisColor rgb="FF000000"/>
            </x14:dataBar>
          </x14:cfRule>
          <xm:sqref>I2</xm:sqref>
        </x14:conditionalFormatting>
      </x14:conditionalFormatting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4136-E6DF-458B-92AE-4396F45BE33B}">
  <dimension ref="A1"/>
  <sheetViews>
    <sheetView workbookViewId="0"/>
  </sheetViews>
  <sheetFormatPr defaultRowHeight="14.4" x14ac:dyDescent="0.3"/>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88FCE-6133-4ABA-BEC3-8FDD1F53A782}">
  <sheetPr codeName="Sheet9"/>
  <dimension ref="A1:I2"/>
  <sheetViews>
    <sheetView showGridLines="0" tabSelected="1" workbookViewId="0">
      <selection activeCell="A2" sqref="A2"/>
    </sheetView>
  </sheetViews>
  <sheetFormatPr defaultColWidth="9.21875" defaultRowHeight="10.199999999999999" x14ac:dyDescent="0.2"/>
  <cols>
    <col min="1" max="1" width="62.21875" style="1" bestFit="1" customWidth="1"/>
    <col min="2" max="2" width="64.77734375" style="1" bestFit="1" customWidth="1"/>
    <col min="3" max="3" width="12.77734375" style="1" bestFit="1" customWidth="1"/>
    <col min="4" max="4" width="9.21875" style="1"/>
    <col min="5" max="5" width="12.33203125" style="1" bestFit="1" customWidth="1"/>
    <col min="6" max="6" width="9.21875" style="1"/>
    <col min="7" max="7" width="11.6640625" style="1" bestFit="1" customWidth="1"/>
    <col min="8" max="8" width="11.88671875" style="1" bestFit="1" customWidth="1"/>
    <col min="9" max="16384" width="9.21875" style="1"/>
  </cols>
  <sheetData>
    <row r="1" spans="1:9" x14ac:dyDescent="0.2">
      <c r="A1" s="2" t="s">
        <v>0</v>
      </c>
      <c r="B1" s="1" t="s">
        <v>599</v>
      </c>
      <c r="C1" s="1" t="s">
        <v>593</v>
      </c>
      <c r="D1" s="1" t="s">
        <v>101</v>
      </c>
      <c r="E1" s="1" t="s">
        <v>594</v>
      </c>
      <c r="F1" s="1" t="s">
        <v>595</v>
      </c>
      <c r="G1" s="1" t="s">
        <v>596</v>
      </c>
      <c r="H1" s="1" t="s">
        <v>597</v>
      </c>
      <c r="I1" s="1" t="s">
        <v>598</v>
      </c>
    </row>
    <row r="2" spans="1:9" x14ac:dyDescent="0.2">
      <c r="B2" s="1" t="e">
        <f>MID(A2,FIND("""",A2)+1,FIND("""",A2,FIND("""",A2)+1)-FIND("""",A2)-1)</f>
        <v>#VALUE!</v>
      </c>
      <c r="C2" s="1" t="e">
        <f>SUBSTITUTE(ASM[[#This Row],[POLICY NAME]],"/Common/","/Common/ASM_")</f>
        <v>#VALUE!</v>
      </c>
      <c r="D2" s="1" t="str">
        <f>"asm"</f>
        <v>asm</v>
      </c>
      <c r="E2" s="38" t="e">
        <f>_xlfn.TEXTBEFORE(_xlfn.TEXTAFTER(SUBSTITUTE(SUBSTITUTE($A2,",","@",2),",","~",2), "@"), "~")</f>
        <v>#N/A</v>
      </c>
      <c r="F2" s="38" t="e">
        <f>_xlfn.TEXTBEFORE(_xlfn.TEXTAFTER(SUBSTITUTE(SUBSTITUTE($A2,",","@",3),",","~",3), "@"), "~")</f>
        <v>#N/A</v>
      </c>
      <c r="G2" s="38" t="e">
        <f>_xlfn.TEXTBEFORE(_xlfn.TEXTAFTER(SUBSTITUTE(SUBSTITUTE($A2,",","@",4),",","~",4), "@"), "~")</f>
        <v>#N/A</v>
      </c>
      <c r="H2" s="38" t="e">
        <f>_xlfn.TEXTBEFORE(_xlfn.TEXTAFTER(SUBSTITUTE(SUBSTITUTE($A2,",","@",6),",","~",6), "@"), "~")</f>
        <v>#N/A</v>
      </c>
      <c r="I2" s="38" t="e">
        <f>_xlfn.TEXTBEFORE(_xlfn.TEXTAFTER(SUBSTITUTE(SUBSTITUTE($A2,",","@",16),",","~",16), "@"), "~")</f>
        <v>#N/A</v>
      </c>
    </row>
  </sheetData>
  <phoneticPr fontId="4" type="noConversion"/>
  <pageMargins left="0.7" right="0.7" top="0.75" bottom="0.75" header="0.3" footer="0.3"/>
  <tableParts count="1">
    <tablePart r:id="rId1"/>
  </tableParts>
</worksheet>
</file>

<file path=docMetadata/LabelInfo.xml><?xml version="1.0" encoding="utf-8"?>
<clbl:labelList xmlns:clbl="http://schemas.microsoft.com/office/2020/mipLabelMetadata">
  <clbl:label id="{cc948c2c-9a24-4150-ba3c-6e219c6b460c}" enabled="1" method="Standard" siteId="{00d042cc-bebc-4deb-b00d-1f3c8f1dc6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68</vt:i4>
      </vt:variant>
    </vt:vector>
  </HeadingPairs>
  <TitlesOfParts>
    <vt:vector size="68" baseType="lpstr">
      <vt:lpstr>Summary &amp; Hardening</vt:lpstr>
      <vt:lpstr>DeviceManagement&gt;&gt;&gt;&gt;&gt;&gt;&gt;&gt;&gt;&gt;&gt;&gt;&gt;&gt;&gt;</vt:lpstr>
      <vt:lpstr>cmdevice</vt:lpstr>
      <vt:lpstr>cmdevicegroup</vt:lpstr>
      <vt:lpstr>cmtrafficgroup</vt:lpstr>
      <vt:lpstr>cmtrustdomain</vt:lpstr>
      <vt:lpstr>sysstatemirroring</vt:lpstr>
      <vt:lpstr>System&gt;&gt;&gt;&gt;&gt;&gt;&gt;&gt;&gt;&gt;&gt;&gt;&gt;&gt;&gt;&gt;&gt;&gt;&gt;&gt;&gt;&gt;&gt;&gt;&gt;</vt:lpstr>
      <vt:lpstr>hostname</vt:lpstr>
      <vt:lpstr>partition</vt:lpstr>
      <vt:lpstr>securityfwmgmtip</vt:lpstr>
      <vt:lpstr>mgmtip</vt:lpstr>
      <vt:lpstr>mgmtroute</vt:lpstr>
      <vt:lpstr>provision</vt:lpstr>
      <vt:lpstr>ntp</vt:lpstr>
      <vt:lpstr>dns</vt:lpstr>
      <vt:lpstr>syslog</vt:lpstr>
      <vt:lpstr>snmp</vt:lpstr>
      <vt:lpstr>user</vt:lpstr>
      <vt:lpstr>passwordpolicy</vt:lpstr>
      <vt:lpstr>httpd</vt:lpstr>
      <vt:lpstr>sshd</vt:lpstr>
      <vt:lpstr>cliglobalsettings</vt:lpstr>
      <vt:lpstr>sysglobalsettings</vt:lpstr>
      <vt:lpstr>auth</vt:lpstr>
      <vt:lpstr>devicecert</vt:lpstr>
      <vt:lpstr>cert</vt:lpstr>
      <vt:lpstr>certdetails</vt:lpstr>
      <vt:lpstr>key</vt:lpstr>
      <vt:lpstr>DB&gt;&gt;&gt;&gt;&gt;&gt;&gt;&gt;&gt;&gt;&gt;&gt;&gt;&gt;&gt;&gt;&gt;&gt;&gt;&gt;&gt;&gt;&gt;&gt;&gt;&gt;&gt;&gt;&gt;</vt:lpstr>
      <vt:lpstr>uilogaccess</vt:lpstr>
      <vt:lpstr>configauditing</vt:lpstr>
      <vt:lpstr>Network&gt;&gt;&gt;&gt;&gt;&gt;&gt;&gt;&gt;&gt;&gt;&gt;&gt;&gt;&gt;&gt;&gt;&gt;&gt;&gt;&gt;&gt;&gt;&gt;</vt:lpstr>
      <vt:lpstr>trunk</vt:lpstr>
      <vt:lpstr>netroutedomain</vt:lpstr>
      <vt:lpstr>nettunnels</vt:lpstr>
      <vt:lpstr>vlan</vt:lpstr>
      <vt:lpstr>selfip</vt:lpstr>
      <vt:lpstr>route</vt:lpstr>
      <vt:lpstr>LTM&gt;&gt;&gt;&gt;&gt;&gt;&gt;&gt;&gt;&gt;&gt;&gt;&gt;&gt;&gt;&gt;&gt;&gt;&gt;&gt;&gt;&gt;&gt;&gt;&gt;&gt;&gt;&gt;</vt:lpstr>
      <vt:lpstr>defaultprofile</vt:lpstr>
      <vt:lpstr>baseprofile</vt:lpstr>
      <vt:lpstr>ltmprofile</vt:lpstr>
      <vt:lpstr>ltmmonitor</vt:lpstr>
      <vt:lpstr>ltmnode</vt:lpstr>
      <vt:lpstr>ltmpool</vt:lpstr>
      <vt:lpstr>ltmpolicy</vt:lpstr>
      <vt:lpstr>ltmsnatpool</vt:lpstr>
      <vt:lpstr>ltmcipherrule</vt:lpstr>
      <vt:lpstr>ltmciphergroup</vt:lpstr>
      <vt:lpstr>ltmclientssl</vt:lpstr>
      <vt:lpstr>ltmserverssl</vt:lpstr>
      <vt:lpstr>ltmvirtualserver</vt:lpstr>
      <vt:lpstr>ltmvirtualaddress</vt:lpstr>
      <vt:lpstr>GTM&gt;&gt;&gt;&gt;&gt;&gt;&gt;&gt;&gt;&gt;&gt;&gt;&gt;&gt;&gt;&gt;&gt;&gt;&gt;&gt;&gt;&gt;&gt;&gt;&gt;&gt;&gt;&gt;</vt:lpstr>
      <vt:lpstr>gtmcert</vt:lpstr>
      <vt:lpstr>big3dcert</vt:lpstr>
      <vt:lpstr>gtmdatacenter</vt:lpstr>
      <vt:lpstr>gtmproberpool</vt:lpstr>
      <vt:lpstr>gtmregion</vt:lpstr>
      <vt:lpstr>gtmserver</vt:lpstr>
      <vt:lpstr>gtmtopology</vt:lpstr>
      <vt:lpstr>gtmglobalsettings</vt:lpstr>
      <vt:lpstr>gtmmonitor</vt:lpstr>
      <vt:lpstr>gtmpool</vt:lpstr>
      <vt:lpstr>gtmwideip</vt:lpstr>
      <vt:lpstr>ASM&gt;&gt;&gt;&gt;&gt;&gt;&gt;&gt;&gt;&gt;&gt;&gt;&gt;&gt;&gt;&gt;&gt;&gt;&gt;&gt;&gt;&gt;&gt;&gt;&gt;&gt;&gt;&gt;</vt:lpstr>
      <vt:lpstr>asmpolicy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JYang@exclusive-networks.com</dc:creator>
  <cp:lastModifiedBy>Jason Yang</cp:lastModifiedBy>
  <dcterms:created xsi:type="dcterms:W3CDTF">2019-06-19T12:33:55Z</dcterms:created>
  <dcterms:modified xsi:type="dcterms:W3CDTF">2026-10-26T03:15:44Z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948c2c-9a24-4150-ba3c-6e219c6b460c_Enabled">
    <vt:lpwstr>true</vt:lpwstr>
  </property>
  <property fmtid="{D5CDD505-2E9C-101B-9397-08002B2CF9AE}" pid="3" name="MSIP_Label_cc948c2c-9a24-4150-ba3c-6e219c6b460c_SetDate">
    <vt:lpwstr>2024-02-21T01:07:36Z</vt:lpwstr>
  </property>
  <property fmtid="{D5CDD505-2E9C-101B-9397-08002B2CF9AE}" pid="4" name="MSIP_Label_cc948c2c-9a24-4150-ba3c-6e219c6b460c_Method">
    <vt:lpwstr>Standard</vt:lpwstr>
  </property>
  <property fmtid="{D5CDD505-2E9C-101B-9397-08002B2CF9AE}" pid="5" name="MSIP_Label_cc948c2c-9a24-4150-ba3c-6e219c6b460c_Name">
    <vt:lpwstr>Internal</vt:lpwstr>
  </property>
  <property fmtid="{D5CDD505-2E9C-101B-9397-08002B2CF9AE}" pid="6" name="MSIP_Label_cc948c2c-9a24-4150-ba3c-6e219c6b460c_SiteId">
    <vt:lpwstr>00d042cc-bebc-4deb-b00d-1f3c8f1dc662</vt:lpwstr>
  </property>
  <property fmtid="{D5CDD505-2E9C-101B-9397-08002B2CF9AE}" pid="7" name="MSIP_Label_cc948c2c-9a24-4150-ba3c-6e219c6b460c_ActionId">
    <vt:lpwstr>7a7e5fdb-a495-4ea8-8061-ae088e18e3e2</vt:lpwstr>
  </property>
  <property fmtid="{D5CDD505-2E9C-101B-9397-08002B2CF9AE}" pid="8" name="MSIP_Label_cc948c2c-9a24-4150-ba3c-6e219c6b460c_ContentBits">
    <vt:lpwstr>0</vt:lpwstr>
  </property>
</Properties>
</file>